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13_ncr:1_{738C0B4D-7DB3-4261-A8E2-269864F82C6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Executive Dashboard" sheetId="1" r:id="rId1"/>
    <sheet name="Financial Inputs" sheetId="2" r:id="rId2"/>
    <sheet name="Financial Ratios" sheetId="3" r:id="rId3"/>
    <sheet name="Segment Analysis" sheetId="4" r:id="rId4"/>
    <sheet name="Fin Services Asset Quality" sheetId="5" r:id="rId5"/>
    <sheet name="Debt Maturity &amp; Liquidity" sheetId="6" r:id="rId6"/>
    <sheet name="Source Register &amp; Verif. Log" sheetId="8" r:id="rId7"/>
    <sheet name="External Credit Rating" sheetId="7" r:id="rId8"/>
    <sheet name="Methodology" sheetId="9" r:id="rId9"/>
  </sheets>
  <definedNames>
    <definedName name="_xlnm._FilterDatabase" localSheetId="1" hidden="1">'Financial Inputs'!$A$5:$G$32</definedName>
    <definedName name="_xlnm._FilterDatabase" localSheetId="2" hidden="1">'Financial Ratios'!$A$5:$G$21</definedName>
    <definedName name="_xlnm._FilterDatabase" localSheetId="6" hidden="1">'Source Register &amp; Verif. Log'!$A$14:$J$58</definedName>
    <definedName name="_xlnm.Print_Titles" localSheetId="0">'Executive Dashboard'!$1:$2</definedName>
    <definedName name="_xlnm.Print_Titles" localSheetId="1">'Financial Inputs'!$5:$5</definedName>
    <definedName name="_xlnm.Print_Titles" localSheetId="2">'Financial Ratios'!$5:$5</definedName>
    <definedName name="_xlnm.Print_Titles" localSheetId="6">'Source Register &amp; Verif. Log'!$1:$2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8" i="8" l="1"/>
  <c r="D57" i="8"/>
  <c r="D56" i="8"/>
  <c r="D55" i="8"/>
  <c r="D54" i="8"/>
  <c r="D53" i="8"/>
  <c r="D52" i="8"/>
  <c r="D51" i="8"/>
  <c r="D50" i="8"/>
  <c r="D49" i="8"/>
  <c r="E48" i="8"/>
  <c r="F48" i="8" s="1"/>
  <c r="G48" i="8" s="1"/>
  <c r="D48" i="8"/>
  <c r="E47" i="8"/>
  <c r="F47" i="8" s="1"/>
  <c r="G47" i="8" s="1"/>
  <c r="D47" i="8"/>
  <c r="D46" i="8"/>
  <c r="D45" i="8"/>
  <c r="D44" i="8"/>
  <c r="D43" i="8"/>
  <c r="D42" i="8"/>
  <c r="D41" i="8"/>
  <c r="D40" i="8"/>
  <c r="E39" i="8"/>
  <c r="F39" i="8" s="1"/>
  <c r="G39" i="8" s="1"/>
  <c r="D39" i="8"/>
  <c r="E38" i="8"/>
  <c r="F38" i="8" s="1"/>
  <c r="G38" i="8" s="1"/>
  <c r="D38" i="8"/>
  <c r="E37" i="8"/>
  <c r="F37" i="8" s="1"/>
  <c r="G37" i="8" s="1"/>
  <c r="D37" i="8"/>
  <c r="E36" i="8"/>
  <c r="F36" i="8" s="1"/>
  <c r="G36" i="8" s="1"/>
  <c r="D36" i="8"/>
  <c r="E35" i="8"/>
  <c r="F35" i="8" s="1"/>
  <c r="G35" i="8" s="1"/>
  <c r="D35" i="8"/>
  <c r="E34" i="8"/>
  <c r="F34" i="8" s="1"/>
  <c r="G34" i="8" s="1"/>
  <c r="D34" i="8"/>
  <c r="E33" i="8"/>
  <c r="F33" i="8" s="1"/>
  <c r="G33" i="8" s="1"/>
  <c r="D33" i="8"/>
  <c r="E32" i="8"/>
  <c r="F32" i="8" s="1"/>
  <c r="G32" i="8" s="1"/>
  <c r="D32" i="8"/>
  <c r="E31" i="8"/>
  <c r="F31" i="8" s="1"/>
  <c r="G31" i="8" s="1"/>
  <c r="D31" i="8"/>
  <c r="E30" i="8"/>
  <c r="F30" i="8" s="1"/>
  <c r="G30" i="8" s="1"/>
  <c r="D30" i="8"/>
  <c r="E29" i="8"/>
  <c r="F29" i="8" s="1"/>
  <c r="G29" i="8" s="1"/>
  <c r="D29" i="8"/>
  <c r="E28" i="8"/>
  <c r="F28" i="8" s="1"/>
  <c r="G28" i="8" s="1"/>
  <c r="D28" i="8"/>
  <c r="E27" i="8"/>
  <c r="F27" i="8" s="1"/>
  <c r="G27" i="8" s="1"/>
  <c r="D27" i="8"/>
  <c r="E26" i="8"/>
  <c r="F26" i="8" s="1"/>
  <c r="G26" i="8" s="1"/>
  <c r="D26" i="8"/>
  <c r="E25" i="8"/>
  <c r="F25" i="8" s="1"/>
  <c r="G25" i="8" s="1"/>
  <c r="D25" i="8"/>
  <c r="E24" i="8"/>
  <c r="F24" i="8" s="1"/>
  <c r="G24" i="8" s="1"/>
  <c r="D24" i="8"/>
  <c r="E23" i="8"/>
  <c r="F23" i="8" s="1"/>
  <c r="G23" i="8" s="1"/>
  <c r="D23" i="8"/>
  <c r="E22" i="8"/>
  <c r="F22" i="8" s="1"/>
  <c r="G22" i="8" s="1"/>
  <c r="D22" i="8"/>
  <c r="E21" i="8"/>
  <c r="F21" i="8" s="1"/>
  <c r="G21" i="8" s="1"/>
  <c r="D21" i="8"/>
  <c r="E20" i="8"/>
  <c r="F20" i="8" s="1"/>
  <c r="G20" i="8" s="1"/>
  <c r="D20" i="8"/>
  <c r="E19" i="8"/>
  <c r="F19" i="8" s="1"/>
  <c r="G19" i="8" s="1"/>
  <c r="D19" i="8"/>
  <c r="E18" i="8"/>
  <c r="F18" i="8" s="1"/>
  <c r="G18" i="8" s="1"/>
  <c r="D18" i="8"/>
  <c r="D17" i="8"/>
  <c r="D16" i="8"/>
  <c r="D15" i="8"/>
  <c r="B43" i="7"/>
  <c r="C36" i="7"/>
  <c r="D36" i="7" s="1"/>
  <c r="B36" i="7"/>
  <c r="C35" i="7"/>
  <c r="B35" i="7"/>
  <c r="D29" i="7"/>
  <c r="D27" i="7"/>
  <c r="D26" i="7"/>
  <c r="D25" i="7"/>
  <c r="D24" i="7"/>
  <c r="D23" i="7"/>
  <c r="D79" i="6"/>
  <c r="D78" i="6"/>
  <c r="C78" i="6"/>
  <c r="C79" i="6" s="1"/>
  <c r="D76" i="6"/>
  <c r="D73" i="6"/>
  <c r="C73" i="6"/>
  <c r="C76" i="6" s="1"/>
  <c r="D72" i="6"/>
  <c r="D74" i="6" s="1"/>
  <c r="D75" i="6" s="1"/>
  <c r="C72" i="6"/>
  <c r="D77" i="6" s="1"/>
  <c r="D65" i="6"/>
  <c r="B65" i="6"/>
  <c r="D64" i="6"/>
  <c r="C64" i="6"/>
  <c r="B64" i="6"/>
  <c r="D63" i="6"/>
  <c r="C63" i="6"/>
  <c r="B63" i="6"/>
  <c r="D62" i="6"/>
  <c r="C62" i="6"/>
  <c r="C65" i="6" s="1"/>
  <c r="B62" i="6"/>
  <c r="D60" i="6"/>
  <c r="D61" i="6" s="1"/>
  <c r="C60" i="6"/>
  <c r="C61" i="6" s="1"/>
  <c r="B60" i="6"/>
  <c r="B61" i="6" s="1"/>
  <c r="D59" i="6"/>
  <c r="C59" i="6"/>
  <c r="B59" i="6"/>
  <c r="D54" i="6"/>
  <c r="B54" i="6"/>
  <c r="D53" i="6"/>
  <c r="B53" i="6"/>
  <c r="D45" i="6"/>
  <c r="C45" i="6"/>
  <c r="B45" i="6"/>
  <c r="D40" i="6"/>
  <c r="C40" i="6"/>
  <c r="B40" i="6"/>
  <c r="F39" i="6"/>
  <c r="F40" i="6" s="1"/>
  <c r="E39" i="6"/>
  <c r="E40" i="6" s="1"/>
  <c r="D39" i="6"/>
  <c r="C39" i="6"/>
  <c r="B39" i="6"/>
  <c r="F38" i="6"/>
  <c r="F37" i="6"/>
  <c r="F36" i="6"/>
  <c r="F35" i="6"/>
  <c r="F34" i="6"/>
  <c r="F33" i="6"/>
  <c r="F32" i="6"/>
  <c r="B52" i="6" s="1"/>
  <c r="C28" i="6"/>
  <c r="E27" i="6"/>
  <c r="E28" i="6" s="1"/>
  <c r="D27" i="6"/>
  <c r="D28" i="6" s="1"/>
  <c r="C27" i="6"/>
  <c r="B27" i="6"/>
  <c r="B28" i="6" s="1"/>
  <c r="E45" i="8" s="1"/>
  <c r="F45" i="8" s="1"/>
  <c r="G45" i="8" s="1"/>
  <c r="F26" i="6"/>
  <c r="F25" i="6"/>
  <c r="F24" i="6"/>
  <c r="F23" i="6"/>
  <c r="F22" i="6"/>
  <c r="F21" i="6"/>
  <c r="F20" i="6"/>
  <c r="C53" i="6" s="1"/>
  <c r="C16" i="6"/>
  <c r="B16" i="6"/>
  <c r="F15" i="6"/>
  <c r="F16" i="6" s="1"/>
  <c r="E15" i="6"/>
  <c r="E16" i="6" s="1"/>
  <c r="D15" i="6"/>
  <c r="D16" i="6" s="1"/>
  <c r="C15" i="6"/>
  <c r="B15" i="6"/>
  <c r="F14" i="6"/>
  <c r="F13" i="6"/>
  <c r="F12" i="6"/>
  <c r="F11" i="6"/>
  <c r="F10" i="6"/>
  <c r="F9" i="6"/>
  <c r="F8" i="6"/>
  <c r="E17" i="8" s="1"/>
  <c r="F17" i="8" s="1"/>
  <c r="G17" i="8" s="1"/>
  <c r="D41" i="5"/>
  <c r="B41" i="5"/>
  <c r="B40" i="5"/>
  <c r="D36" i="5"/>
  <c r="C36" i="5"/>
  <c r="D34" i="5"/>
  <c r="C34" i="5"/>
  <c r="D33" i="5"/>
  <c r="D35" i="5" s="1"/>
  <c r="B33" i="5"/>
  <c r="D30" i="5"/>
  <c r="D31" i="5" s="1"/>
  <c r="C30" i="5"/>
  <c r="C31" i="5" s="1"/>
  <c r="B30" i="5"/>
  <c r="B31" i="5" s="1"/>
  <c r="D29" i="5"/>
  <c r="B29" i="5"/>
  <c r="D28" i="5"/>
  <c r="C28" i="5"/>
  <c r="C33" i="5" s="1"/>
  <c r="C35" i="5" s="1"/>
  <c r="B28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E57" i="8" s="1"/>
  <c r="F57" i="8" s="1"/>
  <c r="G57" i="8" s="1"/>
  <c r="C20" i="5"/>
  <c r="E56" i="8" s="1"/>
  <c r="F56" i="8" s="1"/>
  <c r="G56" i="8" s="1"/>
  <c r="B20" i="5"/>
  <c r="E55" i="8" s="1"/>
  <c r="F55" i="8" s="1"/>
  <c r="G55" i="8" s="1"/>
  <c r="D19" i="5"/>
  <c r="D40" i="5" s="1"/>
  <c r="C19" i="5"/>
  <c r="E53" i="8" s="1"/>
  <c r="F53" i="8" s="1"/>
  <c r="G53" i="8" s="1"/>
  <c r="B19" i="5"/>
  <c r="E52" i="8" s="1"/>
  <c r="F52" i="8" s="1"/>
  <c r="G52" i="8" s="1"/>
  <c r="A129" i="4"/>
  <c r="A128" i="4"/>
  <c r="A127" i="4"/>
  <c r="A126" i="4"/>
  <c r="C122" i="4"/>
  <c r="D121" i="4"/>
  <c r="C121" i="4"/>
  <c r="B121" i="4"/>
  <c r="D120" i="4"/>
  <c r="D122" i="4" s="1"/>
  <c r="C120" i="4"/>
  <c r="B120" i="4"/>
  <c r="B122" i="4" s="1"/>
  <c r="C119" i="4"/>
  <c r="C118" i="4"/>
  <c r="D117" i="4"/>
  <c r="C117" i="4"/>
  <c r="B117" i="4"/>
  <c r="B118" i="4" s="1"/>
  <c r="B119" i="4" s="1"/>
  <c r="D116" i="4"/>
  <c r="D118" i="4" s="1"/>
  <c r="C116" i="4"/>
  <c r="B116" i="4"/>
  <c r="D110" i="4"/>
  <c r="C110" i="4"/>
  <c r="B110" i="4"/>
  <c r="D109" i="4"/>
  <c r="C109" i="4"/>
  <c r="B109" i="4"/>
  <c r="D108" i="4"/>
  <c r="C108" i="4"/>
  <c r="B108" i="4"/>
  <c r="D107" i="4"/>
  <c r="D111" i="4" s="1"/>
  <c r="C107" i="4"/>
  <c r="C111" i="4" s="1"/>
  <c r="B107" i="4"/>
  <c r="B111" i="4" s="1"/>
  <c r="D102" i="4"/>
  <c r="C102" i="4"/>
  <c r="B102" i="4"/>
  <c r="D101" i="4"/>
  <c r="C101" i="4"/>
  <c r="B101" i="4"/>
  <c r="D100" i="4"/>
  <c r="C100" i="4"/>
  <c r="B100" i="4"/>
  <c r="D99" i="4"/>
  <c r="C99" i="4"/>
  <c r="B99" i="4"/>
  <c r="D98" i="4"/>
  <c r="C98" i="4"/>
  <c r="B98" i="4"/>
  <c r="D94" i="4"/>
  <c r="C94" i="4"/>
  <c r="B94" i="4"/>
  <c r="D93" i="4"/>
  <c r="C93" i="4"/>
  <c r="B93" i="4"/>
  <c r="D92" i="4"/>
  <c r="C92" i="4"/>
  <c r="B92" i="4"/>
  <c r="D91" i="4"/>
  <c r="C91" i="4"/>
  <c r="B91" i="4"/>
  <c r="D90" i="4"/>
  <c r="C90" i="4"/>
  <c r="B90" i="4"/>
  <c r="D85" i="4"/>
  <c r="C85" i="4"/>
  <c r="B85" i="4"/>
  <c r="D84" i="4"/>
  <c r="C84" i="4"/>
  <c r="B84" i="4"/>
  <c r="D83" i="4"/>
  <c r="C83" i="4"/>
  <c r="B83" i="4"/>
  <c r="D82" i="4"/>
  <c r="C82" i="4"/>
  <c r="B82" i="4"/>
  <c r="D81" i="4"/>
  <c r="C81" i="4"/>
  <c r="B81" i="4"/>
  <c r="D76" i="4"/>
  <c r="C76" i="4"/>
  <c r="B76" i="4"/>
  <c r="D75" i="4"/>
  <c r="C75" i="4"/>
  <c r="B75" i="4"/>
  <c r="D74" i="4"/>
  <c r="C74" i="4"/>
  <c r="B74" i="4"/>
  <c r="D73" i="4"/>
  <c r="D77" i="4" s="1"/>
  <c r="C73" i="4"/>
  <c r="C77" i="4" s="1"/>
  <c r="B73" i="4"/>
  <c r="B77" i="4" s="1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59" i="4"/>
  <c r="C59" i="4"/>
  <c r="B59" i="4"/>
  <c r="D58" i="4"/>
  <c r="C58" i="4"/>
  <c r="B58" i="4"/>
  <c r="D57" i="4"/>
  <c r="C57" i="4"/>
  <c r="B57" i="4"/>
  <c r="D56" i="4"/>
  <c r="D60" i="4" s="1"/>
  <c r="C56" i="4"/>
  <c r="C60" i="4" s="1"/>
  <c r="B56" i="4"/>
  <c r="B60" i="4" s="1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D43" i="4"/>
  <c r="C43" i="4"/>
  <c r="B43" i="4"/>
  <c r="E43" i="8" s="1"/>
  <c r="F43" i="8" s="1"/>
  <c r="G43" i="8" s="1"/>
  <c r="D42" i="4"/>
  <c r="C42" i="4"/>
  <c r="B42" i="4"/>
  <c r="D32" i="4"/>
  <c r="D33" i="4" s="1"/>
  <c r="C32" i="4"/>
  <c r="C33" i="4" s="1"/>
  <c r="B32" i="4"/>
  <c r="B33" i="4" s="1"/>
  <c r="D23" i="4"/>
  <c r="C23" i="4"/>
  <c r="B23" i="4"/>
  <c r="E41" i="8" s="1"/>
  <c r="F41" i="8" s="1"/>
  <c r="G41" i="8" s="1"/>
  <c r="D22" i="4"/>
  <c r="C22" i="4"/>
  <c r="B22" i="4"/>
  <c r="D12" i="4"/>
  <c r="D13" i="4" s="1"/>
  <c r="C12" i="4"/>
  <c r="C13" i="4" s="1"/>
  <c r="B12" i="4"/>
  <c r="B13" i="4" s="1"/>
  <c r="E40" i="8" s="1"/>
  <c r="F40" i="8" s="1"/>
  <c r="G40" i="8" s="1"/>
  <c r="E21" i="3"/>
  <c r="A41" i="1" s="1"/>
  <c r="D21" i="3"/>
  <c r="C21" i="3"/>
  <c r="E20" i="3"/>
  <c r="D20" i="3"/>
  <c r="C20" i="3"/>
  <c r="E19" i="3"/>
  <c r="D19" i="3"/>
  <c r="C19" i="3"/>
  <c r="E18" i="3"/>
  <c r="D18" i="3"/>
  <c r="C18" i="3"/>
  <c r="E17" i="3"/>
  <c r="A43" i="1" s="1"/>
  <c r="D17" i="3"/>
  <c r="C17" i="3"/>
  <c r="E16" i="3"/>
  <c r="D16" i="3"/>
  <c r="C16" i="3"/>
  <c r="E15" i="3"/>
  <c r="D15" i="3"/>
  <c r="C15" i="3"/>
  <c r="E14" i="3"/>
  <c r="A39" i="1" s="1"/>
  <c r="D14" i="3"/>
  <c r="C14" i="3"/>
  <c r="B19" i="1" s="1"/>
  <c r="E13" i="3"/>
  <c r="D13" i="3"/>
  <c r="E12" i="3"/>
  <c r="D12" i="3"/>
  <c r="E11" i="3"/>
  <c r="D11" i="3"/>
  <c r="E10" i="3"/>
  <c r="D10" i="3"/>
  <c r="E9" i="3"/>
  <c r="D9" i="3"/>
  <c r="C9" i="3"/>
  <c r="B24" i="1" s="1"/>
  <c r="E8" i="3"/>
  <c r="A31" i="1" s="1"/>
  <c r="D8" i="3"/>
  <c r="C23" i="3" s="1"/>
  <c r="C8" i="3"/>
  <c r="E7" i="3"/>
  <c r="D7" i="3"/>
  <c r="C7" i="3"/>
  <c r="E6" i="3"/>
  <c r="D6" i="3"/>
  <c r="D13" i="2"/>
  <c r="A62" i="1"/>
  <c r="A44" i="1"/>
  <c r="A36" i="1"/>
  <c r="A33" i="1"/>
  <c r="A32" i="1"/>
  <c r="A30" i="1"/>
  <c r="G26" i="1"/>
  <c r="E26" i="1"/>
  <c r="D26" i="1"/>
  <c r="C26" i="1"/>
  <c r="B26" i="1"/>
  <c r="E25" i="1"/>
  <c r="D25" i="1"/>
  <c r="C25" i="1"/>
  <c r="G25" i="1" s="1"/>
  <c r="B25" i="1"/>
  <c r="D24" i="1"/>
  <c r="E24" i="1" s="1"/>
  <c r="C24" i="1"/>
  <c r="G24" i="1" s="1"/>
  <c r="E23" i="1"/>
  <c r="D23" i="1"/>
  <c r="C23" i="1"/>
  <c r="G23" i="1" s="1"/>
  <c r="B23" i="1"/>
  <c r="E22" i="1"/>
  <c r="D22" i="1"/>
  <c r="C22" i="1"/>
  <c r="G22" i="1" s="1"/>
  <c r="B22" i="1"/>
  <c r="C21" i="1"/>
  <c r="B21" i="1"/>
  <c r="E20" i="1"/>
  <c r="D20" i="1"/>
  <c r="C20" i="1"/>
  <c r="G20" i="1" s="1"/>
  <c r="B20" i="1"/>
  <c r="E19" i="1"/>
  <c r="D19" i="1"/>
  <c r="C19" i="1"/>
  <c r="G19" i="1" s="1"/>
  <c r="D18" i="1"/>
  <c r="E18" i="1" s="1"/>
  <c r="C18" i="1"/>
  <c r="G18" i="1" s="1"/>
  <c r="B18" i="1"/>
  <c r="D17" i="1"/>
  <c r="E17" i="1" s="1"/>
  <c r="C17" i="1"/>
  <c r="G17" i="1" s="1"/>
  <c r="B17" i="1"/>
  <c r="C16" i="1"/>
  <c r="B16" i="1"/>
  <c r="G15" i="1"/>
  <c r="D15" i="1"/>
  <c r="E15" i="1" s="1"/>
  <c r="C15" i="1"/>
  <c r="B15" i="1"/>
  <c r="G14" i="1"/>
  <c r="E14" i="1"/>
  <c r="D14" i="1"/>
  <c r="C14" i="1"/>
  <c r="B14" i="1"/>
  <c r="D13" i="1"/>
  <c r="G13" i="1" s="1"/>
  <c r="C13" i="1"/>
  <c r="B13" i="1"/>
  <c r="D23" i="3" l="1"/>
  <c r="E58" i="8"/>
  <c r="F58" i="8" s="1"/>
  <c r="G58" i="8" s="1"/>
  <c r="E49" i="8"/>
  <c r="F49" i="8" s="1"/>
  <c r="G49" i="8" s="1"/>
  <c r="B32" i="5"/>
  <c r="E46" i="8"/>
  <c r="F46" i="8" s="1"/>
  <c r="G46" i="8" s="1"/>
  <c r="B68" i="6"/>
  <c r="B67" i="6"/>
  <c r="B66" i="6"/>
  <c r="A61" i="1"/>
  <c r="D119" i="4"/>
  <c r="E44" i="8"/>
  <c r="F44" i="8" s="1"/>
  <c r="G44" i="8" s="1"/>
  <c r="D32" i="5"/>
  <c r="E51" i="8"/>
  <c r="F51" i="8" s="1"/>
  <c r="G51" i="8" s="1"/>
  <c r="A34" i="1"/>
  <c r="C68" i="6"/>
  <c r="C67" i="6"/>
  <c r="C66" i="6"/>
  <c r="E50" i="8"/>
  <c r="F50" i="8" s="1"/>
  <c r="G50" i="8" s="1"/>
  <c r="C32" i="5"/>
  <c r="D68" i="6"/>
  <c r="D67" i="6"/>
  <c r="D66" i="6"/>
  <c r="A40" i="1" s="1"/>
  <c r="E42" i="8"/>
  <c r="F42" i="8" s="1"/>
  <c r="G42" i="8" s="1"/>
  <c r="C54" i="6"/>
  <c r="E13" i="1"/>
  <c r="B44" i="6"/>
  <c r="B46" i="6" s="1"/>
  <c r="B55" i="6"/>
  <c r="F27" i="6"/>
  <c r="F28" i="6" s="1"/>
  <c r="C44" i="6"/>
  <c r="C46" i="6" s="1"/>
  <c r="C55" i="6"/>
  <c r="C74" i="6"/>
  <c r="C75" i="6" s="1"/>
  <c r="E15" i="8"/>
  <c r="F15" i="8" s="1"/>
  <c r="G15" i="8" s="1"/>
  <c r="E54" i="8"/>
  <c r="F54" i="8" s="1"/>
  <c r="G54" i="8" s="1"/>
  <c r="D44" i="6"/>
  <c r="D46" i="6" s="1"/>
  <c r="D55" i="6"/>
  <c r="D16" i="1"/>
  <c r="D21" i="1"/>
  <c r="C40" i="5"/>
  <c r="C52" i="6"/>
  <c r="D52" i="6"/>
  <c r="E16" i="8"/>
  <c r="F16" i="8" s="1"/>
  <c r="G16" i="8" s="1"/>
  <c r="C29" i="5"/>
  <c r="C41" i="5"/>
  <c r="G16" i="1" l="1"/>
  <c r="E16" i="1"/>
  <c r="A60" i="1"/>
  <c r="D48" i="6"/>
  <c r="D47" i="6"/>
  <c r="C48" i="6"/>
  <c r="C47" i="6"/>
  <c r="G60" i="8"/>
  <c r="G59" i="8"/>
  <c r="A59" i="1" s="1"/>
  <c r="B47" i="6"/>
  <c r="B48" i="6"/>
  <c r="G21" i="1"/>
  <c r="E21" i="1"/>
</calcChain>
</file>

<file path=xl/sharedStrings.xml><?xml version="1.0" encoding="utf-8"?>
<sst xmlns="http://schemas.openxmlformats.org/spreadsheetml/2006/main" count="1338" uniqueCount="657">
  <si>
    <t>Mahindra &amp; Mahindra Limited – Corporate Credit Risk Analysis</t>
  </si>
  <si>
    <t>Executive Dashboard  |  Consolidated unless stated  |  ₹ crore  |  Fiscal years end 31 March</t>
  </si>
  <si>
    <t>Prepared by</t>
  </si>
  <si>
    <t>Tanmay Krishna Sattiraju</t>
  </si>
  <si>
    <t>Project title</t>
  </si>
  <si>
    <t>Corporate Credit Risk Analysis &amp; AI-Assisted Decision Support</t>
  </si>
  <si>
    <t>Company analysed</t>
  </si>
  <si>
    <t>Mahindra &amp; Mahindra Limited</t>
  </si>
  <si>
    <t>Classification</t>
  </si>
  <si>
    <t>Independent Educational Portfolio Project</t>
  </si>
  <si>
    <t>Select comparison year (drop-down):</t>
  </si>
  <si>
    <t>FY2026</t>
  </si>
  <si>
    <t>1. Key credit indicators</t>
  </si>
  <si>
    <t>Indicator</t>
  </si>
  <si>
    <t>FY2024</t>
  </si>
  <si>
    <t>FY2025</t>
  </si>
  <si>
    <t>Selected year</t>
  </si>
  <si>
    <t>Credit-favourable direction</t>
  </si>
  <si>
    <t>FY2026 vs FY2025 signal</t>
  </si>
  <si>
    <t>Revenue from operations (₹ crore)</t>
  </si>
  <si>
    <t>Higher</t>
  </si>
  <si>
    <t>Revenue growth (YoY)</t>
  </si>
  <si>
    <t>PBT margin</t>
  </si>
  <si>
    <t>Consolidated profit margin</t>
  </si>
  <si>
    <t>Borrowings excl. leases (₹ crore)</t>
  </si>
  <si>
    <t>Lower</t>
  </si>
  <si>
    <t>Current borrowings (₹ crore)</t>
  </si>
  <si>
    <t>Borrowings / total assets</t>
  </si>
  <si>
    <t>Borrowings growth (YoY)</t>
  </si>
  <si>
    <t>(Cash + other bank balances) / borrowings – gross</t>
  </si>
  <si>
    <t>Operating cash flow (₹ crore)</t>
  </si>
  <si>
    <t>CFO / borrowings</t>
  </si>
  <si>
    <t>Finance costs / revenue</t>
  </si>
  <si>
    <t>FS gross Stage 3 / gross loans</t>
  </si>
  <si>
    <t>FS net Stage 3 / net carrying amount</t>
  </si>
  <si>
    <t>Signals are mechanical (direction vs prior year) and do not by themselves measure credit quality – e.g. rising borrowings can accompany a growing, asset-backed finance book. 'Gross' liquidity ratio does not adjust for restricted balances.</t>
  </si>
  <si>
    <t>2. Positive credit indicators (formula-driven text)</t>
  </si>
  <si>
    <t>CRISIL (18 Sep 2026) reaffirmed its high ratings – NCDs CRISIL AAA/Stable; short-term bank facilities and commercial paper CRISIL A1+. External agency opinion – not a zero-risk statement.</t>
  </si>
  <si>
    <t>3. Key risks and watch-points (formula-driven text)</t>
  </si>
  <si>
    <t>The FY2026 operating-cash-flow rebound needs a sustainability assessment: CFO was negative in FY2024–FY2025, and consolidated CFO may be affected by Financial Services loan flows and working-capital timing (verify in the cash-flow statement).</t>
  </si>
  <si>
    <t>Expansion, acquisitions and automotive competition pose strategic and execution risks (qualitative; not quantified in this workbook).</t>
  </si>
  <si>
    <t>Scope differences: CRISIL indicators are standalone while most workbook figures are consolidated; segment and consolidated totals use different definitions (FY2026 revenue difference flagged).</t>
  </si>
  <si>
    <t>4. Analyst scorecard – educational judgement (not a rating or lending decision)</t>
  </si>
  <si>
    <t>Dimension</t>
  </si>
  <si>
    <t>Assessment</t>
  </si>
  <si>
    <t>Evidence</t>
  </si>
  <si>
    <t>Profitability &amp; growth</t>
  </si>
  <si>
    <t>Strong / improving</t>
  </si>
  <si>
    <t>Revenue growth and margin expansion FY2024–FY2026; all segments up in FY2026.</t>
  </si>
  <si>
    <t>Leverage</t>
  </si>
  <si>
    <t>Elevated headline; Financial Services-driven</t>
  </si>
  <si>
    <t>High consolidated borrowings largely coexist with a large asset-backed loan book; not distress on its own.</t>
  </si>
  <si>
    <t>Liquidity &amp; refinancing</t>
  </si>
  <si>
    <t>Moderate – monitor</t>
  </si>
  <si>
    <t>Gross cash + bank balances below 1.0x of borrowings due within a year; current borrowings rising; refinancing access is key.</t>
  </si>
  <si>
    <t>Cash generation</t>
  </si>
  <si>
    <t>Improving – sustainability unproven</t>
  </si>
  <si>
    <t>CFO positive only in FY2026; investing outflows heavy; FY2024 cash-flow inputs carry a verification flag.</t>
  </si>
  <si>
    <t>Financial Services asset quality</t>
  </si>
  <si>
    <t>Improving; coverage solid</t>
  </si>
  <si>
    <t>Gross/net Stage 3 ratios down in FY2026; Stage 3 coverage near 59%; loan growth and Stage 2 to monitor.</t>
  </si>
  <si>
    <t>External rating</t>
  </si>
  <si>
    <t>Highest-category instrument ratings</t>
  </si>
  <si>
    <t>CRISIL AAA/Stable (NCDs), A1+ (short-term, CP) – standalone, external opinion.</t>
  </si>
  <si>
    <t>Overall (educational view): a strong credit profile with identified watch-points. High consolidated borrowings alone do not indicate distress – the whole profile (earnings, asset quality, liquidity, cash flow, ratings) must be considered.</t>
  </si>
  <si>
    <t>5. Data-quality flags (see 'Source Register &amp; Verif. Log')</t>
  </si>
  <si>
    <t>6. Charts (consolidated unless stated)</t>
  </si>
  <si>
    <t>Chart notes: bar charts start at zero; CFO ratio shown for FY2024–FY2025 is negative. 'Cash + bank' is a gross indicator. Source sheets: Financial Inputs, Financial Ratios, Fin Services Asset Quality.</t>
  </si>
  <si>
    <t>Financial Inputs – Mahindra &amp; Mahindra Limited (Consolidated)</t>
  </si>
  <si>
    <t>₹ crore unless stated. Fiscal years end 31 March. Source: figures supplied for this project from the annual reports (see Source Register). Independent educational project – not an official Wells Fargo assessment or lending decision.</t>
  </si>
  <si>
    <t>Colour key:  Blue = hard-coded input (as supplied)  |  Black = formula  |  Green = link to another sheet  |  Grey italic = not supplied / not applicable (never estimated)</t>
  </si>
  <si>
    <t>Section</t>
  </si>
  <si>
    <t>Metric</t>
  </si>
  <si>
    <t>Unit</t>
  </si>
  <si>
    <t>Source / note</t>
  </si>
  <si>
    <t>Income statement</t>
  </si>
  <si>
    <t>Revenue from operations</t>
  </si>
  <si>
    <t>₹ crore</t>
  </si>
  <si>
    <t>Basis for ALL revenue growth and margin ratios. Not mixed with total income.</t>
  </si>
  <si>
    <t>Other income</t>
  </si>
  <si>
    <t>Consolidated; as supplied.</t>
  </si>
  <si>
    <t>Total income (as reported)</t>
  </si>
  <si>
    <t>FLAG: FY2026 reported total income exceeds revenue from operations + other income by ₹845.77 crore (equal to the segment-revenue difference). Retained as reported – see Verification Log.</t>
  </si>
  <si>
    <t>Finance costs</t>
  </si>
  <si>
    <t>Total expenses</t>
  </si>
  <si>
    <t>Exceptional items</t>
  </si>
  <si>
    <t>Not supplied</t>
  </si>
  <si>
    <t>FY2026 negative ₹292.94 crore; FY2025 nil; FY2024 not supplied.</t>
  </si>
  <si>
    <t>PBT before share of associates/JVs and tax</t>
  </si>
  <si>
    <t>PBT before exceptional items, share of associates/JVs and tax</t>
  </si>
  <si>
    <t>FY2025 derived (formula): exceptional items were nil, so equals PBT before associates/JVs. FY2024 not supplied.</t>
  </si>
  <si>
    <t>Share of profit of associates/JVs</t>
  </si>
  <si>
    <t>Profit before tax</t>
  </si>
  <si>
    <t>Total consolidated profit</t>
  </si>
  <si>
    <t>Profit attributable to owners</t>
  </si>
  <si>
    <t>Basic EPS</t>
  </si>
  <si>
    <t>₹</t>
  </si>
  <si>
    <t>Balance sheet</t>
  </si>
  <si>
    <t>Total assets</t>
  </si>
  <si>
    <t>Non-current borrowings</t>
  </si>
  <si>
    <t>Current borrowings</t>
  </si>
  <si>
    <t>Includes current maturities of long-term borrowings.</t>
  </si>
  <si>
    <t>Total borrowings excluding leases</t>
  </si>
  <si>
    <t>Excludes lease liabilities. Not the same as total contractual financial liabilities.</t>
  </si>
  <si>
    <t>Cash and cash equivalents</t>
  </si>
  <si>
    <t>Other bank balances</t>
  </si>
  <si>
    <t>May include restricted / earmarked balances – composition not supplied.</t>
  </si>
  <si>
    <t>Non-current lease liabilities</t>
  </si>
  <si>
    <t>FY2024 not supplied.</t>
  </si>
  <si>
    <t>Current lease liabilities</t>
  </si>
  <si>
    <t xml:space="preserve">  of which: short-term borrowings (within current borrowings)</t>
  </si>
  <si>
    <t>FY2024 split not supplied.</t>
  </si>
  <si>
    <t xml:space="preserve">  of which: current maturities of long-term borrowings</t>
  </si>
  <si>
    <t>Cash flow</t>
  </si>
  <si>
    <t>Operating cash flow</t>
  </si>
  <si>
    <t>Negative in FY2024–FY2025. Consolidated CFO may include Financial Services loan flows – verify in cash-flow statement.</t>
  </si>
  <si>
    <t>Investing cash flow</t>
  </si>
  <si>
    <t>Financing cash flow</t>
  </si>
  <si>
    <t>Net change in cash equivalents (as reported)</t>
  </si>
  <si>
    <t>FLAG: FY2024 CFO + CFI + CFF = ₹1,053.69 crore, not ₹3,493.41 crore – see Verification Log.</t>
  </si>
  <si>
    <t>Data handling: figures are retained exactly as supplied. 'Not supplied' cells are never estimated or back-solved; any ratio needing them shows 'n/a'. Derivative-liabilities tables are excluded and are not combined with any borrowings or maturity figures.</t>
  </si>
  <si>
    <t>Financial Ratios – Consolidated</t>
  </si>
  <si>
    <t>All ratios are live formulas on 'Financial Inputs'. Revenue = revenue from operations throughout (never total income). FY2024 growth rates are n/a because FY2023 was not supplied.</t>
  </si>
  <si>
    <t>Category</t>
  </si>
  <si>
    <t>Ratio</t>
  </si>
  <si>
    <t>Definition (formula basis)</t>
  </si>
  <si>
    <t>Analyst comment</t>
  </si>
  <si>
    <t>Growth</t>
  </si>
  <si>
    <t>n/a</t>
  </si>
  <si>
    <t>Revenue from operations(t) / Revenue from operations(t-1) − 1</t>
  </si>
  <si>
    <t>Strong growth; FY2026 +24.2%.</t>
  </si>
  <si>
    <t>Profitability</t>
  </si>
  <si>
    <t>Profit before tax / Revenue from operations</t>
  </si>
  <si>
    <t>Improved from c.11.49% to c.12.73%. PBT includes share of associates/JVs.</t>
  </si>
  <si>
    <t>Total consolidated profit / Revenue from operations</t>
  </si>
  <si>
    <t>Improved from c.8.82% to c.9.41%.</t>
  </si>
  <si>
    <t>Finance costs / Revenue from operations</t>
  </si>
  <si>
    <t>Rose in FY2025, eased in FY2026. Finance costs include the captive Financial Services business, where interest is a cost of goods sold.</t>
  </si>
  <si>
    <t>Total assets growth (YoY)</t>
  </si>
  <si>
    <t>Total assets(t) / Total assets(t-1) − 1</t>
  </si>
  <si>
    <t>Asset growth largely tracks business expansion incl. Financial Services loan book.</t>
  </si>
  <si>
    <t>Borrowings growth (total excl. leases, YoY)</t>
  </si>
  <si>
    <t>Total borrowings excl. leases(t) / (t-1) − 1</t>
  </si>
  <si>
    <t>FY2026 growth slower than FY2025.</t>
  </si>
  <si>
    <t>Current borrowings growth (YoY)</t>
  </si>
  <si>
    <t>Current borrowings(t) / (t-1) − 1</t>
  </si>
  <si>
    <t>Current borrowings rose sharply in FY2026 – refinancing/rollover profile to monitor.</t>
  </si>
  <si>
    <t>Non-current borrowings growth (YoY)</t>
  </si>
  <si>
    <t>Non-current borrowings(t) / (t-1) − 1</t>
  </si>
  <si>
    <t>Non-current borrowings fell in FY2026 as more debt moved into current maturities.</t>
  </si>
  <si>
    <t>Borrowings (excl. leases) / total assets</t>
  </si>
  <si>
    <t>Total borrowings excl. leases / Total assets</t>
  </si>
  <si>
    <t>Roughly stable c.41–44%. Read with the captive Financial Services loan book (see Segment Analysis).</t>
  </si>
  <si>
    <t>Current borrowings / total borrowings (excl. leases)</t>
  </si>
  <si>
    <t>Current borrowings / Total borrowings excl. leases</t>
  </si>
  <si>
    <t>Supplementary. Share of debt due within 12 months rose in FY2026.</t>
  </si>
  <si>
    <t>Liquidity</t>
  </si>
  <si>
    <t>Cash and cash equivalents / borrowings</t>
  </si>
  <si>
    <t>Cash and cash equivalents / Total borrowings excl. leases</t>
  </si>
  <si>
    <t>Low on a cash-only basis; the group also holds other bank balances (next row).</t>
  </si>
  <si>
    <t>(Cash + other bank balances) / borrowings – GROSS INDICATOR</t>
  </si>
  <si>
    <t>(Cash and cash equivalents + Other bank balances) / Total borrowings excl. leases</t>
  </si>
  <si>
    <t>GROSS indicator: does NOT adjust for restricted, earmarked or encumbered bank balances. Treat as an upper bound of freely available liquidity.</t>
  </si>
  <si>
    <t>CFO / revenue</t>
  </si>
  <si>
    <t>Operating cash flow / Revenue from operations</t>
  </si>
  <si>
    <t>Turned positive in FY2026; sustainability needs assessment.</t>
  </si>
  <si>
    <t>Operating cash flow / Total borrowings excl. leases</t>
  </si>
  <si>
    <t>Negative in FY2024–FY2025, c.9.0% in FY2026.</t>
  </si>
  <si>
    <t>Supplementary</t>
  </si>
  <si>
    <t>Indicative interest cover (x)</t>
  </si>
  <si>
    <t>(PBT before associates/JVs + Finance costs) / Finance costs</t>
  </si>
  <si>
    <t>Indicative only. Finance costs include the Financial Services lending business, so consolidated cover is not comparable with industrial-company cover.</t>
  </si>
  <si>
    <t>Cash-flow proxy</t>
  </si>
  <si>
    <t>CFO + investing cash flow (₹ crore) – SIMPLIFIED PROXY, NOT FREE CASH FLOW</t>
  </si>
  <si>
    <t>Operating cash flow + Investing cash flow (investing is negative = outflow)</t>
  </si>
  <si>
    <t>Simplified proxy only. Investing flows include purchases of investments/bank deposits and capex; this is NOT a definition of free cash flow (which would use capex only).</t>
  </si>
  <si>
    <t>Formula-error check – count of error cells in ratio table</t>
  </si>
  <si>
    <t>Reading the ratios: a high headline borrowings figure does not by itself indicate distress. Consolidated debt includes the borrowings that fund the captive Financial Services loan book, which is matched by loan assets; judge leverage alongside asset quality, liquidity and cash flow (see Executive Dashboard).</t>
  </si>
  <si>
    <t>Segment Analysis – Consolidated segment disclosures</t>
  </si>
  <si>
    <t>₹ crore. Segment result is after share of associates/JVs. Segment figures are NOT reconciled to consolidated totals (definitions differ) – differences are shown, not forced.</t>
  </si>
  <si>
    <t>A. External revenue (input)</t>
  </si>
  <si>
    <t>Segment</t>
  </si>
  <si>
    <t>Note</t>
  </si>
  <si>
    <t>Automotive</t>
  </si>
  <si>
    <t>Farm Equipment</t>
  </si>
  <si>
    <t>Financial Services</t>
  </si>
  <si>
    <t>Industrial Businesses &amp; Consumer Services</t>
  </si>
  <si>
    <t>Total (as reported)</t>
  </si>
  <si>
    <t>As supplied. FY2026 total differs in definition from consolidated revenue from operations – see reconciliation panel.</t>
  </si>
  <si>
    <t>Check: sum of segments (formula)</t>
  </si>
  <si>
    <t>Check: sum of segments − reported total</t>
  </si>
  <si>
    <t>Should be nil (rounding tolerance ₹0.02 crore).</t>
  </si>
  <si>
    <t>B. Segment result after share of associates/JVs (input)</t>
  </si>
  <si>
    <t>As supplied.</t>
  </si>
  <si>
    <t>C. Segment assets (input)</t>
  </si>
  <si>
    <t>D. Segment liabilities (input)</t>
  </si>
  <si>
    <t>E. External revenue growth (YoY) and 2-year CAGR</t>
  </si>
  <si>
    <t>FY24–26 CAGR</t>
  </si>
  <si>
    <t>Total (reported)</t>
  </si>
  <si>
    <t>Total row uses the segment external-revenue total (FY2026: ₹198,638.55 crore), not consolidated revenue from operations.</t>
  </si>
  <si>
    <t>F. Share of segment external revenue</t>
  </si>
  <si>
    <t>Total (check = 100%)</t>
  </si>
  <si>
    <t>G. Segment result margin (indicative)</t>
  </si>
  <si>
    <t>Indicative only: segment result is after share of associates/JVs and relates to total segment activity, whereas the denominator is EXTERNAL revenue (excludes inter-segment sales).</t>
  </si>
  <si>
    <t>H. Share of total segment result</t>
  </si>
  <si>
    <t>I. Segment result / segment assets (year-end, indicative)</t>
  </si>
  <si>
    <t>Uses year-end (not average) segment assets. Financial Services is naturally low on this measure because the loan book is the asset base.</t>
  </si>
  <si>
    <t>J. Net segment assets (assets − liabilities), ₹ crore</t>
  </si>
  <si>
    <t>K. Segment liabilities / segment assets</t>
  </si>
  <si>
    <t>Segment liabilities include operating liabilities as well as borrowings; the split of consolidated borrowings by segment was not supplied and is not estimated.</t>
  </si>
  <si>
    <t>L. Share of total segment assets (concentration)</t>
  </si>
  <si>
    <t>Financial Services holds the majority of segment assets – the main reason consolidated borrowings look high relative to an industrial group.</t>
  </si>
  <si>
    <t>M. Reconciliation panel – definitions differ; differences are SHOWN, never forced</t>
  </si>
  <si>
    <t>Item</t>
  </si>
  <si>
    <t>Revenue from operations – consolidated (Financial Inputs)</t>
  </si>
  <si>
    <t>Segment external revenue total – as reported (this sheet)</t>
  </si>
  <si>
    <t>Difference (segment total − consolidated revenue from operations)</t>
  </si>
  <si>
    <t>FLAG for FY2026: the two figures come from different source definitions. Both preserved; neither adjusted. The FY2026 difference equals the gap between reported total income and revenue + other income.</t>
  </si>
  <si>
    <t>Status</t>
  </si>
  <si>
    <t>Total assets – consolidated (Financial Inputs)</t>
  </si>
  <si>
    <t>Segment assets total (this sheet)</t>
  </si>
  <si>
    <t>Consolidated − segment assets (unallocated assets &amp; eliminations; informational)</t>
  </si>
  <si>
    <t>Unallocated assets exist, so segment totals are not expected to equal consolidated totals. Composition of this gap was not supplied; not reconciled.</t>
  </si>
  <si>
    <t>Segment liabilities: consolidated total liabilities were not supplied, so no comparison is made.</t>
  </si>
  <si>
    <t>N. Analyst commentary (formula-driven)</t>
  </si>
  <si>
    <t>Financial Services Asset Quality – Mahindra Finance segment loan book</t>
  </si>
  <si>
    <t>₹ crore. Stage 3 = credit-impaired exposures; the supplied Financial Services definition includes borrowers 90 days past due. Annual credit cost is NOT calculated (flow data not supplied).</t>
  </si>
  <si>
    <t>A. Gross loan balances (input)</t>
  </si>
  <si>
    <t>Stage 1 gross balance</t>
  </si>
  <si>
    <t>Stage 2 gross balance</t>
  </si>
  <si>
    <t>Stage 3 gross balance</t>
  </si>
  <si>
    <t>Total gross loan balance</t>
  </si>
  <si>
    <t>B. Net carrying amounts (input)</t>
  </si>
  <si>
    <t>Stage 3 net carrying amount</t>
  </si>
  <si>
    <t>Total net carrying amount</t>
  </si>
  <si>
    <t>C. Expected credit loss (ECL) rates (input)</t>
  </si>
  <si>
    <t>Stage 1 ECL rate</t>
  </si>
  <si>
    <t>%</t>
  </si>
  <si>
    <t>Stage 2 ECL rate</t>
  </si>
  <si>
    <t>Stage 3 ECL rate</t>
  </si>
  <si>
    <t>D. Asset-quality ratios (formulas)</t>
  </si>
  <si>
    <t>Gross Stage 3 / gross loans</t>
  </si>
  <si>
    <t>Key headline NPA-type ratio. Improved in FY2026.</t>
  </si>
  <si>
    <t>Net Stage 3 / net carrying amount</t>
  </si>
  <si>
    <t>Net of ECL allowance. Improved in FY2026.</t>
  </si>
  <si>
    <t>Stage 1 share of gross loans</t>
  </si>
  <si>
    <t>FY2024 not computable (Stage 1 not supplied).</t>
  </si>
  <si>
    <t>Stage 2 share of gross loans</t>
  </si>
  <si>
    <t>Stage 2 = significant increase in credit risk (watch-list).</t>
  </si>
  <si>
    <t>Stage 2 + Stage 3 share of gross loans</t>
  </si>
  <si>
    <t>Combined stressed-and-impaired share; FY2024 not computable.</t>
  </si>
  <si>
    <t>Gross loan growth (YoY)</t>
  </si>
  <si>
    <t>Loan growth needs monitoring against underwriting quality.</t>
  </si>
  <si>
    <t>Net carrying amount growth (YoY)</t>
  </si>
  <si>
    <t>Stage 3 gross balance growth (YoY)</t>
  </si>
  <si>
    <t>Absolute Stage 3 balance fell in FY2026 while the loan book grew.</t>
  </si>
  <si>
    <t>E. ECL allowance analysis (formulas; allowance = gross − net)</t>
  </si>
  <si>
    <t>Implied total ECL allowance (gross − net)</t>
  </si>
  <si>
    <t>Derived from supplied balances.</t>
  </si>
  <si>
    <t>Implied total allowance / gross loans</t>
  </si>
  <si>
    <t>Overall ECL coverage of the loan book.</t>
  </si>
  <si>
    <t>Implied Stage 3 allowance (gross − net)</t>
  </si>
  <si>
    <t>Implied Stage 3 coverage (allowance / gross Stage 3)</t>
  </si>
  <si>
    <t>Should agree with the supplied Stage 3 ECL rate.</t>
  </si>
  <si>
    <t>Difference vs supplied Stage 3 ECL rate (percentage points)</t>
  </si>
  <si>
    <t>pp</t>
  </si>
  <si>
    <t>Consistency check; small differences reflect rounding of supplied rates.</t>
  </si>
  <si>
    <t>Implied Stage 1+2 allowance (total − Stage 3)</t>
  </si>
  <si>
    <t>Calculated Stage 1+2 allowance (balance × ECL rate)</t>
  </si>
  <si>
    <t>FY2024 not computable.</t>
  </si>
  <si>
    <t>Difference (implied − calculated)</t>
  </si>
  <si>
    <t>Small residual expected because ECL rates are supplied to two decimals.</t>
  </si>
  <si>
    <t>Check: Stage 1+2+3 − total gross balance</t>
  </si>
  <si>
    <t>Should be nil.</t>
  </si>
  <si>
    <t>F. Reference values quoted in the project brief (approximate, input) and agreement check</t>
  </si>
  <si>
    <t>Expected gross Stage 3 ratio (brief, approx.)</t>
  </si>
  <si>
    <t>Rounded values from the brief.</t>
  </si>
  <si>
    <t>Expected net Stage 3 ratio (brief, approx.)</t>
  </si>
  <si>
    <t>Gross: calculated − expected (pp)</t>
  </si>
  <si>
    <t>Within rounding (&lt; 0.02 pp).</t>
  </si>
  <si>
    <t>Net: calculated − expected (pp)</t>
  </si>
  <si>
    <t>NOT CALCULATED – Annual credit cost (provision charge / average loans): requires impairment charge, write-off and average-balance flow data that were not supplied. Impairment balances (stocks) must not be used to derive an annual credit-cost ratio.</t>
  </si>
  <si>
    <t>Monitoring points: (1) loan growth versus asset quality; (2) Stage 2 share and migration to Stage 3; (3) Stage 3 coverage (c.59% in FY2026) vs the FY2025 dip to c.56%; (4) sensitivity to rural/vehicle-finance cycles (qualitative; not quantified here).</t>
  </si>
  <si>
    <t>Debt Maturity &amp; Liquidity – Contractual cash-flow analysis</t>
  </si>
  <si>
    <t>₹ crore. The maturity tables are UNDISCOUNTED contractual cash flows incl. principal, interest, trade payables and other financial liabilities – NOT equivalent to balance-sheet borrowings. Derivative liabilities are excluded.</t>
  </si>
  <si>
    <t>A. Undiscounted contractual cash flows by maturity bucket (input)</t>
  </si>
  <si>
    <t>FY2026 – contractual maturity table</t>
  </si>
  <si>
    <t>Item (₹ crore, undiscounted)</t>
  </si>
  <si>
    <t>&lt; 1 year</t>
  </si>
  <si>
    <t>1–3 years</t>
  </si>
  <si>
    <t>3–5 years</t>
  </si>
  <si>
    <t>&gt; 5 years</t>
  </si>
  <si>
    <t>Total (all buckets)</t>
  </si>
  <si>
    <t>Borrowings principal</t>
  </si>
  <si>
    <t>Borrowings interest</t>
  </si>
  <si>
    <t>Trade payables</t>
  </si>
  <si>
    <t>Financial guarantees</t>
  </si>
  <si>
    <t>Not listed</t>
  </si>
  <si>
    <t>Row not listed in the supplied FY2026 table; not assumed to be zero.</t>
  </si>
  <si>
    <t>Lease liabilities including interest</t>
  </si>
  <si>
    <t>Other financial liabilities</t>
  </si>
  <si>
    <t>Reported total contractual cash flows</t>
  </si>
  <si>
    <t>As reported (input).</t>
  </si>
  <si>
    <t>Check: sum of listed items (formula)</t>
  </si>
  <si>
    <t>Check: sum of items − reported total</t>
  </si>
  <si>
    <t>Should be nil (tolerance ₹0.02 crore).</t>
  </si>
  <si>
    <t>FY2025 – contractual maturity table</t>
  </si>
  <si>
    <t>FY2024 – contractual maturity table</t>
  </si>
  <si>
    <t>B. Borrowings-principal reconciliation – maturity buckets vs balance-sheet borrowings (MANDATORY VERIFICATION FLAG)</t>
  </si>
  <si>
    <t>Sum of borrowings-principal maturity buckets</t>
  </si>
  <si>
    <t>From maturity tables above.</t>
  </si>
  <si>
    <t>Balance-sheet borrowings excluding leases</t>
  </si>
  <si>
    <t>Link to Financial Inputs.</t>
  </si>
  <si>
    <t>Difference (buckets − balance sheet)</t>
  </si>
  <si>
    <t>FY2026: ₹85.04 crore higher than reported borrowings. RECORDED, NOT CORRECTED. FY2025 and FY2024 also show differences. Possible measurement-basis reasons are not confirmed from the supplied data.</t>
  </si>
  <si>
    <t>Difference as % of balance-sheet borrowings</t>
  </si>
  <si>
    <t>Immaterial in scale but retained and flagged.</t>
  </si>
  <si>
    <t>FLAG = difference exceeds tolerance.</t>
  </si>
  <si>
    <t>C. Borrowings-principal maturity profile (share of bucket total)</t>
  </si>
  <si>
    <t>Bucket total used as denominator (not balance-sheet borrowings).</t>
  </si>
  <si>
    <t>D. Liquidity coverage – GROSS indicators (contractual view)</t>
  </si>
  <si>
    <t>May include restricted/earmarked balances – composition not supplied.</t>
  </si>
  <si>
    <t>Cash + other bank balances (gross)</t>
  </si>
  <si>
    <t>Gross; not adjusted for restrictions.</t>
  </si>
  <si>
    <t>Borrowings principal due &lt; 1 year</t>
  </si>
  <si>
    <t>Total reported contractual cash flows due &lt; 1 year</t>
  </si>
  <si>
    <t>Includes interest, trade payables, leases and other financial liabilities.</t>
  </si>
  <si>
    <t xml:space="preserve">  of which trade payables due &lt; 1 year</t>
  </si>
  <si>
    <t>Normally serviced from operating working capital, so the total-flows coverage below is conservative.</t>
  </si>
  <si>
    <t>Cash &amp; cash equivalents / borrowings principal due &lt; 1 yr</t>
  </si>
  <si>
    <t>x</t>
  </si>
  <si>
    <t>(Cash + other bank balances) / borrowings principal due &lt; 1 yr – GROSS</t>
  </si>
  <si>
    <t>Below 1.0x in all years: refinancing access, CFO and undrawn facilities (not supplied) matter. Captive-finance loan collections also fund repayments.</t>
  </si>
  <si>
    <t>(Cash + other bank balances) / total contractual cash flows due &lt; 1 yr – GROSS</t>
  </si>
  <si>
    <t>Conservative: denominator includes trade payables and interest.</t>
  </si>
  <si>
    <t>Gross headroom: (cash + bank balances) − borrowings principal due &lt; 1 yr</t>
  </si>
  <si>
    <t>Negative = reliance on refinancing / operating inflows / loan collections.</t>
  </si>
  <si>
    <t>E. Current-borrowings composition and lease liabilities</t>
  </si>
  <si>
    <t>Short-term borrowings</t>
  </si>
  <si>
    <t>Current maturities of long-term borrowings</t>
  </si>
  <si>
    <t>Sum of components</t>
  </si>
  <si>
    <t>Difference vs reported current borrowings</t>
  </si>
  <si>
    <t>Current maturities as % of current borrowings</t>
  </si>
  <si>
    <t>Most current borrowings are scheduled term-debt repayments rather than short-term rollover lines.</t>
  </si>
  <si>
    <t>Short-term borrowings growth (YoY)</t>
  </si>
  <si>
    <t>Sharp rise in FY2026 short-term borrowings – monitor.</t>
  </si>
  <si>
    <t>Lease liabilities (non-current + current)</t>
  </si>
  <si>
    <t>Borrowings incl. lease liabilities (supplementary)</t>
  </si>
  <si>
    <t>Supplementary only; headline borrowings in this workbook exclude leases.</t>
  </si>
  <si>
    <t>Interpretation: Maturity totals are contractual obligations (incl. interest and trade payables), not borrowings. The FY2026 jump in current borrowings is driven by both higher current maturities and higher short-term borrowings. Liquidity assessment should combine these gross indicators with operating cash flow, committed undrawn facilities and Financial Services loan collections (none of which are fully supplied here).</t>
  </si>
  <si>
    <t>External Credit Rating – CRISIL</t>
  </si>
  <si>
    <t>Rating rationale dated 18 September 2026. External agency opinions; NOT a lending decision. CRISIL financial indicators below are STANDALONE and are never combined with consolidated figures.</t>
  </si>
  <si>
    <t>A. CRISIL rated instruments (rationale dated 18 September 2026)</t>
  </si>
  <si>
    <t>Instrument</t>
  </si>
  <si>
    <t>Rating</t>
  </si>
  <si>
    <t>Outlook</t>
  </si>
  <si>
    <t>Rated amount (₹ crore)</t>
  </si>
  <si>
    <t>Rationale date</t>
  </si>
  <si>
    <t>Non-convertible debentures (NCD) – ₹475 crore issue</t>
  </si>
  <si>
    <t>CRISIL AAA</t>
  </si>
  <si>
    <t>Stable</t>
  </si>
  <si>
    <t>Highest long-term rating category.</t>
  </si>
  <si>
    <t>Non-convertible debentures (NCD) – ₹500 crore issue</t>
  </si>
  <si>
    <t>Commercial paper</t>
  </si>
  <si>
    <t>CRISIL A1+</t>
  </si>
  <si>
    <t>n/a (short-term)</t>
  </si>
  <si>
    <t>Highest short-term rating category.</t>
  </si>
  <si>
    <t>Short-term bank facilities</t>
  </si>
  <si>
    <t>Facility-level amount not supplied separately.</t>
  </si>
  <si>
    <t>Rated bank loan facilities (aggregate)</t>
  </si>
  <si>
    <t>Not itemised</t>
  </si>
  <si>
    <t>Split between long-term and short-term facilities and their individual ratings were not supplied; not assumed.</t>
  </si>
  <si>
    <t>Per the project brief, CRISIL's action reaffirmed these ratings. Rated amounts are instrument sizes only and are not total company debt.</t>
  </si>
  <si>
    <t>B. What an external rating does – and does not – mean</t>
  </si>
  <si>
    <t>A CRISIL rating is an independent agency opinion on relative creditworthiness of a specific instrument. It is not a guarantee, a recommendation or a measure of zero risk.</t>
  </si>
  <si>
    <t>AAA indicates the highest degree of safety regarding timely servicing of financial obligations (CRISIL's own scale; general reference) – it still carries a small, non-zero risk of default, and ratings can be revised.</t>
  </si>
  <si>
    <t>Ratings assess named instruments/facilities of Mahindra &amp; Mahindra Limited; they do not replace independent analysis of the consolidated group, including the Financial Services subsidiary.</t>
  </si>
  <si>
    <t>This workbook uses the ratings as an external cross-check on its own analysis; no rating, score or limit is derived from them.</t>
  </si>
  <si>
    <t>C. CRISIL STANDALONE indicators – DO NOT COMBINE WITH CONSOLIDATED SERIES</t>
  </si>
  <si>
    <t>SCOPE WARNING: These figures are standalone (Mahindra &amp; Mahindra Limited, excluding subsidiaries such as the Financial Services business). Most other sheets are consolidated. The two scopes are not comparable and no ratio in this workbook mixes them.</t>
  </si>
  <si>
    <t>Metric (standalone)</t>
  </si>
  <si>
    <t>Change</t>
  </si>
  <si>
    <t>Operating income</t>
  </si>
  <si>
    <t>EBITDA</t>
  </si>
  <si>
    <t>EBIT margin</t>
  </si>
  <si>
    <t>Change shown in percentage points.</t>
  </si>
  <si>
    <t>PAT</t>
  </si>
  <si>
    <t>PAT margin</t>
  </si>
  <si>
    <t>Adjusted net debt / net worth</t>
  </si>
  <si>
    <t>NM</t>
  </si>
  <si>
    <t>Reported by CRISIL as 'NM' (not meaningful) – standalone debt is very small relative to net worth.</t>
  </si>
  <si>
    <t>Interest coverage</t>
  </si>
  <si>
    <t>times</t>
  </si>
  <si>
    <t>Standalone debt (FY2026)</t>
  </si>
  <si>
    <t>FY2025 not supplied.</t>
  </si>
  <si>
    <t>Estimated accrual (FY2026)</t>
  </si>
  <si>
    <t>D. Recalculated cross-checks on CRISIL standalone figures (formulas)</t>
  </si>
  <si>
    <t>Check</t>
  </si>
  <si>
    <t>Difference vs stated</t>
  </si>
  <si>
    <t>EBITDA margin (EBITDA / operating income)</t>
  </si>
  <si>
    <t>Calculated here; not stated in the supplied indicators.</t>
  </si>
  <si>
    <t>PAT margin recalculated (PAT / operating income)</t>
  </si>
  <si>
    <t>pp (FY26)</t>
  </si>
  <si>
    <t>Agrees with the stated PAT margin within rounding.</t>
  </si>
  <si>
    <t>E. CRISIL Q1 FY2027 standalone indicators</t>
  </si>
  <si>
    <t>Metric (standalone, Q1 FY2027)</t>
  </si>
  <si>
    <t>Value</t>
  </si>
  <si>
    <t>Revenue</t>
  </si>
  <si>
    <t>Quarter (standalone).</t>
  </si>
  <si>
    <t>PAT margin – stated (approx.)</t>
  </si>
  <si>
    <t>Stated as approximately 9%.</t>
  </si>
  <si>
    <t>PAT margin – recalculated (PAT / revenue)</t>
  </si>
  <si>
    <t>Consistent with the approximately-9% stated margin.</t>
  </si>
  <si>
    <t>Interpretation: very low standalone leverage, strong interest cover and rising accruals support the high standalone instrument ratings. They say little about the consolidated Financial Services borrowings – that is why this workbook analyses consolidated leverage, liquidity and asset quality separately.</t>
  </si>
  <si>
    <t>Source Register &amp; Verification Log</t>
  </si>
  <si>
    <t>Official sources used, arithmetic integrity checks across the supplied data, and data gaps. Checks compare supplied figures only – nothing has been adjusted.</t>
  </si>
  <si>
    <t>A. Source register</t>
  </si>
  <si>
    <t>ID</t>
  </si>
  <si>
    <t>Source name</t>
  </si>
  <si>
    <t>Reporting scope</t>
  </si>
  <si>
    <t>Date</t>
  </si>
  <si>
    <t>Publisher</t>
  </si>
  <si>
    <t>Page / note</t>
  </si>
  <si>
    <t>Source type</t>
  </si>
  <si>
    <t>Relevant figures used in this workbook</t>
  </si>
  <si>
    <t>Verification status</t>
  </si>
  <si>
    <t>Link</t>
  </si>
  <si>
    <t>S1</t>
  </si>
  <si>
    <t>Mahindra &amp; Mahindra – FY2026 Annual Report</t>
  </si>
  <si>
    <t>Consolidated (also standalone)</t>
  </si>
  <si>
    <t>Mahindra &amp; Mahindra Ltd</t>
  </si>
  <si>
    <t>Not recorded</t>
  </si>
  <si>
    <t>Company filing</t>
  </si>
  <si>
    <t>FY2026 (and comparative) consolidated income statement, balance sheet, cash flow; segment results/assets/liabilities; Financial Services staging, ECL and loan balances; contractual maturity table.</t>
  </si>
  <si>
    <t>Supplied by user – not independently re-checked against source</t>
  </si>
  <si>
    <t>https://www.mahindra.com/annual-report-FY2026/index.html</t>
  </si>
  <si>
    <t>S2</t>
  </si>
  <si>
    <t>Mahindra &amp; Mahindra – FY2025 Annual Report</t>
  </si>
  <si>
    <t>FY2025 and FY2024 comparative consolidated statements, segment data, Financial Services asset quality and maturity tables.</t>
  </si>
  <si>
    <t>https://www.mahindra.com/annual-report-FY2025/toc/</t>
  </si>
  <si>
    <t>S3</t>
  </si>
  <si>
    <t>CRISIL rating rationale – Mahindra &amp; Mahindra Limited</t>
  </si>
  <si>
    <t>Standalone indicators; instrument ratings</t>
  </si>
  <si>
    <t>CRISIL Ratings</t>
  </si>
  <si>
    <t>Rating agency</t>
  </si>
  <si>
    <t>NCD AAA/Stable; short-term bank facilities and commercial paper A1+; rated amounts; standalone operating income, EBITDA, margins, interest coverage, accrual, Q1 FY2027.</t>
  </si>
  <si>
    <t>https://www.crisilratings.com/mnt/winshare/Ratings/RatingList/RatingDocs/MahindraandMahindraLimited_September%2018_%202026_RR_404981.html</t>
  </si>
  <si>
    <t>S4</t>
  </si>
  <si>
    <t>Mahindra &amp; Mahindra – Q4 and full-year FY26 standalone and consolidated results</t>
  </si>
  <si>
    <t>Standalone and consolidated</t>
  </si>
  <si>
    <t>Press release</t>
  </si>
  <si>
    <t>Cross-reference for FY2026 headline revenue, profit and EPS.</t>
  </si>
  <si>
    <t>https://www.mahindra.com/news-room/press-release/en/financial-results-quarter-4-and-full-year-fy26-standalone-and-consolidated-results</t>
  </si>
  <si>
    <t>Source mapping above reflects the intended origin of the supplied figures; page/note references were not supplied and are not invented. Tracking parameters (utm_source) were removed from two of the supplied URLs. Update 'Verification status' and 'Page / note' as each figure is traced.</t>
  </si>
  <si>
    <t>B. Verification log – arithmetic and definition checks (live formulas)</t>
  </si>
  <si>
    <t>Tolerance</t>
  </si>
  <si>
    <t>Absolute tolerance (₹ crore, or percentage points for ratio checks):</t>
  </si>
  <si>
    <t>Scope</t>
  </si>
  <si>
    <t>Expected / reference</t>
  </si>
  <si>
    <t>Actual / compared</t>
  </si>
  <si>
    <t>Difference</t>
  </si>
  <si>
    <t>Auto status</t>
  </si>
  <si>
    <t>Treatment / analyst note</t>
  </si>
  <si>
    <t>Source ref</t>
  </si>
  <si>
    <t>V01</t>
  </si>
  <si>
    <t>FY2024 borrowings-principal buckets vs balance-sheet borrowings</t>
  </si>
  <si>
    <t>Debt Maturity &amp; Liquidity</t>
  </si>
  <si>
    <t>Buckets exceed reported borrowings. Difference recorded; neither figure adjusted. Additional difference noticed in this check.</t>
  </si>
  <si>
    <t>Flagged – retained as supplied</t>
  </si>
  <si>
    <t>S1/S2</t>
  </si>
  <si>
    <t>V02</t>
  </si>
  <si>
    <t>FY2025 borrowings-principal buckets vs balance-sheet borrowings</t>
  </si>
  <si>
    <t>V03</t>
  </si>
  <si>
    <t>FY2026 borrowings-principal buckets vs balance-sheet borrowings (MANDATORY FLAG)</t>
  </si>
  <si>
    <t>Buckets exceed reported borrowings. Difference recorded; neither figure adjusted. FY2026: ₹85.04 crore.</t>
  </si>
  <si>
    <t>V04</t>
  </si>
  <si>
    <t>FY2024 total income: reported vs revenue from operations + other income</t>
  </si>
  <si>
    <t>Financial Inputs</t>
  </si>
  <si>
    <t>Reconciles.</t>
  </si>
  <si>
    <t>Arithmetic check passed</t>
  </si>
  <si>
    <t>V05</t>
  </si>
  <si>
    <t>FY2025 total income: reported vs revenue from operations + other income</t>
  </si>
  <si>
    <t>V06</t>
  </si>
  <si>
    <t>FY2026 total income: reported vs revenue from operations + other income</t>
  </si>
  <si>
    <t>FY2026 reported total income is ₹845.77 crore higher; same amount as the segment-revenue gap. Likely a definition difference – not confirmed. Retained as reported.</t>
  </si>
  <si>
    <t>V07</t>
  </si>
  <si>
    <t>FY2024 revenue from operations vs segment external-revenue total</t>
  </si>
  <si>
    <t>Segment Analysis</t>
  </si>
  <si>
    <t>V08</t>
  </si>
  <si>
    <t>FY2025 revenue from operations vs segment external-revenue total</t>
  </si>
  <si>
    <t>V09</t>
  </si>
  <si>
    <t>FY2026 revenue from operations vs segment external-revenue total</t>
  </si>
  <si>
    <t>Different source definitions; both preserved; no reconciliation forced.</t>
  </si>
  <si>
    <t>V10</t>
  </si>
  <si>
    <t>FY2024 PBT before associates/JVs = total income − total expenses + exceptional items</t>
  </si>
  <si>
    <t>FY2024 exceptional items not supplied (treated as nil only inside this check).</t>
  </si>
  <si>
    <t>V11</t>
  </si>
  <si>
    <t>FY2025 PBT before associates/JVs = total income − total expenses + exceptional items</t>
  </si>
  <si>
    <t>V12</t>
  </si>
  <si>
    <t>FY2026 PBT before associates/JVs = total income − total expenses + exceptional items</t>
  </si>
  <si>
    <t>V13</t>
  </si>
  <si>
    <t>FY2024 PBT = PBT before associates/JVs + share of associates/JVs</t>
  </si>
  <si>
    <t>V14</t>
  </si>
  <si>
    <t>FY2025 PBT = PBT before associates/JVs + share of associates/JVs</t>
  </si>
  <si>
    <t>V15</t>
  </si>
  <si>
    <t>FY2026 PBT = PBT before associates/JVs + share of associates/JVs</t>
  </si>
  <si>
    <t>V16</t>
  </si>
  <si>
    <t>FY2024 borrowings: non-current + current = total (excl. leases)</t>
  </si>
  <si>
    <t>V17</t>
  </si>
  <si>
    <t>FY2025 borrowings: non-current + current = total (excl. leases)</t>
  </si>
  <si>
    <t>V18</t>
  </si>
  <si>
    <t>FY2026 borrowings: non-current + current = total (excl. leases)</t>
  </si>
  <si>
    <t>V19</t>
  </si>
  <si>
    <t>FY2025 current borrowings = short-term + current maturities of LT</t>
  </si>
  <si>
    <t>V20</t>
  </si>
  <si>
    <t>FY2026 current borrowings = short-term + current maturities of LT</t>
  </si>
  <si>
    <t>V21</t>
  </si>
  <si>
    <t>FY2024 CFO + investing + financing = net change in cash equivalents</t>
  </si>
  <si>
    <t>FY2024 supplied components sum to ₹1,053.69 crore vs ₹3,493.41 crore reported (gap ₹2,439.72 crore). Possible transcription issue in the supplied FY2024 cash-flow inputs – verify against source. Retained as supplied; FY2024 cash-flow ratios carry this caveat.</t>
  </si>
  <si>
    <t>V22</t>
  </si>
  <si>
    <t>FY2025 CFO + investing + financing = net change in cash equivalents</t>
  </si>
  <si>
    <t>V23</t>
  </si>
  <si>
    <t>FY2026 CFO + investing + financing = net change in cash equivalents</t>
  </si>
  <si>
    <t>V24</t>
  </si>
  <si>
    <t>FY2025 change in cash &amp; cash equivalents (balance sheet) vs reported net change in cash</t>
  </si>
  <si>
    <t>Informational: small differences can arise from items outside the cash-flow total (e.g., exchange effects, bank overdrafts). Not an error flag by itself.</t>
  </si>
  <si>
    <t>Informational</t>
  </si>
  <si>
    <t>V25</t>
  </si>
  <si>
    <t>FY2026 change in cash &amp; cash equivalents (balance sheet) vs reported net change in cash</t>
  </si>
  <si>
    <t>V26</t>
  </si>
  <si>
    <t>Segment external revenue: sum of segments vs reported total (sum of absolute differences, FY2024–26)</t>
  </si>
  <si>
    <t>V27</t>
  </si>
  <si>
    <t>Segment segment result: sum of segments vs reported total (sum of absolute differences, FY2024–26)</t>
  </si>
  <si>
    <t>V28</t>
  </si>
  <si>
    <t>Segment segment assets: sum of segments vs reported total (sum of absolute differences, FY2024–26)</t>
  </si>
  <si>
    <t>V29</t>
  </si>
  <si>
    <t>Segment segment liabilities: sum of segments vs reported total (sum of absolute differences, FY2024–26)</t>
  </si>
  <si>
    <t>V30</t>
  </si>
  <si>
    <t>FY2026 maturity table: sum of listed items vs reported total (sum of absolute differences, 4 buckets)</t>
  </si>
  <si>
    <t>V31</t>
  </si>
  <si>
    <t>FY2025 maturity table: sum of listed items vs reported total (sum of absolute differences, 4 buckets)</t>
  </si>
  <si>
    <t>V32</t>
  </si>
  <si>
    <t>FY2024 maturity table: sum of listed items vs reported total (sum of absolute differences, 4 buckets)</t>
  </si>
  <si>
    <t>V33</t>
  </si>
  <si>
    <t>FY2025 Financial Services: Stage 1+2+3 gross = total gross loans</t>
  </si>
  <si>
    <t>Fin Services Asset Quality</t>
  </si>
  <si>
    <t>V34</t>
  </si>
  <si>
    <t>FY2026 Financial Services: Stage 1+2+3 gross = total gross loans</t>
  </si>
  <si>
    <t>V35</t>
  </si>
  <si>
    <t>FY2024 Stage 3 ECL rate: supplied vs implied (gross − net) / gross (pp)</t>
  </si>
  <si>
    <t>Consistent within rounding.</t>
  </si>
  <si>
    <t>V36</t>
  </si>
  <si>
    <t>FY2025 Stage 3 ECL rate: supplied vs implied (gross − net) / gross (pp)</t>
  </si>
  <si>
    <t>V37</t>
  </si>
  <si>
    <t>FY2026 Stage 3 ECL rate: supplied vs implied (gross − net) / gross (pp)</t>
  </si>
  <si>
    <t>V38</t>
  </si>
  <si>
    <t>FY2024 gross Stage 3 ratio vs brief's approximate value (pp)</t>
  </si>
  <si>
    <t>Matches the brief within rounding.</t>
  </si>
  <si>
    <t>Brief</t>
  </si>
  <si>
    <t>V39</t>
  </si>
  <si>
    <t>FY2025 gross Stage 3 ratio vs brief's approximate value (pp)</t>
  </si>
  <si>
    <t>V40</t>
  </si>
  <si>
    <t>FY2026 gross Stage 3 ratio vs brief's approximate value (pp)</t>
  </si>
  <si>
    <t>V41</t>
  </si>
  <si>
    <t>FY2024 net Stage 3 ratio vs brief's approximate value (pp)</t>
  </si>
  <si>
    <t>V42</t>
  </si>
  <si>
    <t>FY2025 net Stage 3 ratio vs brief's approximate value (pp)</t>
  </si>
  <si>
    <t>V43</t>
  </si>
  <si>
    <t>FY2026 net Stage 3 ratio vs brief's approximate value (pp)</t>
  </si>
  <si>
    <t>V44</t>
  </si>
  <si>
    <t>Formula-error count – Financial Ratios sheet</t>
  </si>
  <si>
    <t>Financial Ratios</t>
  </si>
  <si>
    <t>No error cells.</t>
  </si>
  <si>
    <t>Workbook</t>
  </si>
  <si>
    <t>Count of FLAG items</t>
  </si>
  <si>
    <t>Count of OK items</t>
  </si>
  <si>
    <t>C. Data gaps – not supplied, NOT estimated</t>
  </si>
  <si>
    <t>Item not supplied</t>
  </si>
  <si>
    <t>Where affected</t>
  </si>
  <si>
    <t>Treatment in workbook</t>
  </si>
  <si>
    <t>G01</t>
  </si>
  <si>
    <t>FY2023 base-year figures</t>
  </si>
  <si>
    <t>Financial Ratios; Segment Analysis</t>
  </si>
  <si>
    <t>FY2024 growth rates shown as 'n/a'.</t>
  </si>
  <si>
    <t>G02</t>
  </si>
  <si>
    <t>FY2024 lease liabilities (non-current and current)</t>
  </si>
  <si>
    <t>Lease-inclusive borrowings shown for FY2025–FY2026 only.</t>
  </si>
  <si>
    <t>G03</t>
  </si>
  <si>
    <t>FY2024 split of current borrowings (short-term vs current maturities)</t>
  </si>
  <si>
    <t>Shown as 'Not supplied'.</t>
  </si>
  <si>
    <t>G04</t>
  </si>
  <si>
    <t>FY2024 exceptional items and PBT before exceptional items</t>
  </si>
  <si>
    <t>Shown as 'Not supplied'; FY2024 check treats exceptional items as nil only inside the arithmetic check.</t>
  </si>
  <si>
    <t>G05</t>
  </si>
  <si>
    <t>FY2024 Financial Services Stage 1 and Stage 2 balances and ECL rates</t>
  </si>
  <si>
    <t>Stage-mix ratios computed for FY2025–FY2026 only.</t>
  </si>
  <si>
    <t>G06</t>
  </si>
  <si>
    <t>FY2026 financial-guarantees row in maturity table</t>
  </si>
  <si>
    <t>Shown as 'Not listed'; not assumed to be zero.</t>
  </si>
  <si>
    <t>G07</t>
  </si>
  <si>
    <t>FY2025 standalone debt and estimated accrual (CRISIL)</t>
  </si>
  <si>
    <t>External Credit Rating</t>
  </si>
  <si>
    <t>G08</t>
  </si>
  <si>
    <t>Composition of 'other bank balances' (restricted / earmarked)</t>
  </si>
  <si>
    <t>Financial Ratios; Debt Maturity &amp; Liquidity</t>
  </si>
  <si>
    <t>Cash + bank ratio labelled gross; no adjustment made.</t>
  </si>
  <si>
    <t>G09</t>
  </si>
  <si>
    <t>Impairment flow data (charge, write-offs, average loans)</t>
  </si>
  <si>
    <t>Annual credit-cost ratio NOT calculated.</t>
  </si>
  <si>
    <t>G10</t>
  </si>
  <si>
    <t>Split of consolidated borrowings by segment</t>
  </si>
  <si>
    <t>Not estimated; only segment liabilities shown.</t>
  </si>
  <si>
    <t>G11</t>
  </si>
  <si>
    <t>Page / note references for source figures; publication dates for S1, S2, S4</t>
  </si>
  <si>
    <t>Source register</t>
  </si>
  <si>
    <t>Marked 'Not recorded' / 'Not supplied'.</t>
  </si>
  <si>
    <t>Open / to do</t>
  </si>
  <si>
    <t>G12</t>
  </si>
  <si>
    <t>Derivative-liabilities table</t>
  </si>
  <si>
    <t>Deliberately excluded; not combined with the maturity table.</t>
  </si>
  <si>
    <t>Methodology, Definitions &amp; Limitations</t>
  </si>
  <si>
    <t>How this workbook is built and how to read it.</t>
  </si>
  <si>
    <t>Topic</t>
  </si>
  <si>
    <t>Description</t>
  </si>
  <si>
    <t>Purpose</t>
  </si>
  <si>
    <t>Independent educational portfolio project analysing Mahindra &amp; Mahindra Limited's credit profile for a financial-services / program-analyst application. It is not an official Wells Fargo assessment, credit approval, rating or lending decision, and not investment advice.</t>
  </si>
  <si>
    <t>Data</t>
  </si>
  <si>
    <t>All inputs were supplied for this project (annual-report and CRISIL figures). Nothing has been invented, interpolated or back-solved. Missing figures are labelled 'Not supplied' and ratios needing them show 'n/a'.</t>
  </si>
  <si>
    <t>Units &amp; period</t>
  </si>
  <si>
    <t>₹ crore unless stated. Fiscal years end 31 March (FY2026 = year ended 31 March 2026). Percentages are stored as fractions and formatted as %. Zero values display as '-'.</t>
  </si>
  <si>
    <t>Colour &amp; cell conventions</t>
  </si>
  <si>
    <t>Blue font = hard-coded input; black = formula; green = link to another sheet; grey italic = not supplied / not applicable; yellow fill = user-selectable cell (dashboard year, tolerance); light red/green/amber fills = status flags generated by conditional formatting.</t>
  </si>
  <si>
    <t>Scope: consolidated vs standalone</t>
  </si>
  <si>
    <t>Financial Inputs, Ratios, Segment, Asset Quality and Maturity sheets are consolidated. CRISIL indicators are STANDALONE and are kept on 'External Credit Rating' only; they are never combined into consolidated ratio series.</t>
  </si>
  <si>
    <t>Revenue basis</t>
  </si>
  <si>
    <t>Revenue growth and margins use revenue from operations (₹197,792.78 crore in FY2026), never total income. Segment analysis uses segment external revenue (₹198,638.55 crore in FY2026); the ₹845.77 crore difference is flagged, not forced.</t>
  </si>
  <si>
    <t>Ratio definitions</t>
  </si>
  <si>
    <t>Revenue growth = RFO(t)/RFO(t-1)−1. PBT margin = PBT / RFO. Profit margin = total consolidated profit / RFO. Asset, borrowings, current and non-current borrowings growth = YoY change. Borrowings / assets = borrowings excl. leases / total assets. Cash / borrowings = cash &amp; equivalents / borrowings excl. leases. (Cash + other bank balances) / borrowings = gross indicator. CFO / revenue and CFO / borrowings use operating cash flow. Finance costs / revenue = finance costs / RFO.</t>
  </si>
  <si>
    <t>Gross liquidity indicator</t>
  </si>
  <si>
    <t>Cash + other bank balances does not adjust for restricted, earmarked or encumbered balances; the composition of other bank balances was not supplied. Treat as an upper bound.</t>
  </si>
  <si>
    <t>CFO + investing cash flow is a simplified proxy only. It is not free cash flow, because investing flows include non-capex items such as investments and bank deposits.</t>
  </si>
  <si>
    <t>Gross Stage 3 / gross loans and net Stage 3 / net carrying amount. Stage 3 = credit-impaired exposures (the supplied definition includes borrowers 90 days past due). Allowance = gross − net. Annual credit cost is NOT calculated because impairment-flow data were not supplied.</t>
  </si>
  <si>
    <t>Debt maturity</t>
  </si>
  <si>
    <t>Maturity tables are undiscounted contractual cash flows including principal, interest, trade payables, leases and other financial liabilities; they are not equivalent to balance-sheet borrowings. Derivative liabilities are excluded. FY2026 borrowings-principal buckets sum to ₹129,699.54 crore vs ₹129,614.50 crore reported (+₹85.04 crore): recorded, not corrected.</t>
  </si>
  <si>
    <t>External ratings</t>
  </si>
  <si>
    <t>CRISIL ratings are agency opinions about specific instruments; they do not imply zero risk. Used only as an external cross-check.</t>
  </si>
  <si>
    <t>Checks &amp; integrity</t>
  </si>
  <si>
    <t>Verification Log contains live-formula checks with a tolerance cell (default ₹0.02 crore / 0.02 pp). 'FLAG' means the supplied figures do not agree within tolerance. Flagged items are retained as supplied. A formula-error counter sits on the Ratios sheet.</t>
  </si>
  <si>
    <t>Interactivity</t>
  </si>
  <si>
    <t>Dashboard year drop-down (data validation); filters on Financial Inputs, Financial Ratios and the Verification Log; freeze panes on all sheets; conditional formatting for flags, negatives and signals.</t>
  </si>
  <si>
    <t>Sheet names</t>
  </si>
  <si>
    <t>Two sheet names are shortened to fit Excel's 31-character limit: 'Fin Services Asset Quality' (Financial Services Asset Quality) and 'Source Register &amp; Verif. Log' (Source Register &amp; Verification Log). Full titles appear at the top of each sheet.</t>
  </si>
  <si>
    <t>Limitations</t>
  </si>
  <si>
    <t>Year-end balances are used instead of averages; segment results are on a different base from consolidated profit; no forecasts, covenant data, undrawn facilities or peer comparison are included; page references and some publication dates were not supplied; supplied figures have not been independently re-checked against the source documents in this build.</t>
  </si>
  <si>
    <t>Interpretation principle</t>
  </si>
  <si>
    <t>High consolidated borrowings alone do not indicate distress. Mahindra's consolidated borrowings include funding for the captive Financial Services loan book; the credit view weighs earnings, asset quality, liquidity, cash flow and ratings together.</t>
  </si>
  <si>
    <r>
      <rPr>
        <b/>
        <i/>
        <sz val="10"/>
        <color rgb="FF9C0006"/>
        <rFont val="Arial"/>
        <family val="2"/>
      </rPr>
      <t xml:space="preserve">Disclaimer : </t>
    </r>
    <r>
      <rPr>
        <i/>
        <sz val="10"/>
        <color rgb="FF9C0006"/>
        <rFont val="Arial"/>
        <charset val="1"/>
      </rPr>
      <t xml:space="preserve">This project is for educational and portfolio demonstration purposes only. It does not constitute an official credit assessment, lending decision, credit rating, or investment advice. </t>
    </r>
    <r>
      <rPr>
        <b/>
        <i/>
        <sz val="10"/>
        <color rgb="FF9C0006"/>
        <rFont val="Arial"/>
        <family val="2"/>
      </rPr>
      <t xml:space="preserve">Data Sources :  </t>
    </r>
    <r>
      <rPr>
        <i/>
        <sz val="10"/>
        <color rgb="FF9C0006"/>
        <rFont val="Arial"/>
        <family val="2"/>
      </rPr>
      <t>Financial figures are sourced from publicly available company disclosures and credit-rating publications. Refer to the Source Register &amp; Verification Log for source details and verification notes.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</si>
</sst>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\-"/>
    <numFmt numFmtId="165" formatCode="0.00%;\(0.00%\);\-"/>
    <numFmt numFmtId="166" formatCode="0.0%"/>
    <numFmt numFmtId="167" formatCode="#,##0.00;\(#,##0.00\);\-"/>
    <numFmt numFmtId="168" formatCode="0.00\x"/>
    <numFmt numFmtId="169" formatCode="0.000;\(0.000\);\-"/>
    <numFmt numFmtId="170" formatCode="0.000%"/>
    <numFmt numFmtId="171" formatCode="dd\-mmm\-yyyy"/>
    <numFmt numFmtId="172" formatCode="0\x"/>
    <numFmt numFmtId="173" formatCode="0.000"/>
  </numFmts>
  <fonts count="1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i/>
      <sz val="10"/>
      <color rgb="FF9C0006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i/>
      <sz val="9"/>
      <color rgb="FF40404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i/>
      <sz val="10"/>
      <color rgb="FF808080"/>
      <name val="Arial"/>
      <charset val="1"/>
    </font>
    <font>
      <b/>
      <i/>
      <sz val="10"/>
      <color rgb="FF808080"/>
      <name val="Arial"/>
      <charset val="1"/>
    </font>
    <font>
      <u/>
      <sz val="9"/>
      <color rgb="FF0563C1"/>
      <name val="Arial"/>
      <charset val="1"/>
    </font>
    <font>
      <b/>
      <i/>
      <sz val="10"/>
      <color rgb="FF9C0006"/>
      <name val="Arial"/>
      <family val="2"/>
    </font>
    <font>
      <i/>
      <sz val="10"/>
      <color rgb="FF9C000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DECEA"/>
        <bgColor rgb="FFFDF3E7"/>
      </patternFill>
    </fill>
    <fill>
      <patternFill patternType="solid">
        <fgColor rgb="FFD9E1F2"/>
        <bgColor rgb="FFD9D9D9"/>
      </patternFill>
    </fill>
    <fill>
      <patternFill patternType="solid">
        <fgColor rgb="FFFFFF99"/>
        <bgColor rgb="FFFFEB9C"/>
      </patternFill>
    </fill>
    <fill>
      <patternFill patternType="solid">
        <fgColor rgb="FF1F3864"/>
        <bgColor rgb="FF404040"/>
      </patternFill>
    </fill>
    <fill>
      <patternFill patternType="solid">
        <fgColor rgb="FFF2F2F2"/>
        <bgColor rgb="FFEAF4EA"/>
      </patternFill>
    </fill>
    <fill>
      <patternFill patternType="solid">
        <fgColor rgb="FFEAF4EA"/>
        <bgColor rgb="FFF2F2F2"/>
      </patternFill>
    </fill>
    <fill>
      <patternFill patternType="solid">
        <fgColor rgb="FFFDF3E7"/>
        <bgColor rgb="FFFDECEA"/>
      </patternFill>
    </fill>
    <fill>
      <patternFill patternType="solid">
        <fgColor rgb="FFFFF2CC"/>
        <bgColor rgb="FFFDF3E7"/>
      </patternFill>
    </fill>
    <fill>
      <patternFill patternType="solid">
        <fgColor rgb="FF1F5F5B"/>
        <bgColor rgb="FF2F5597"/>
      </patternFill>
    </fill>
    <fill>
      <patternFill patternType="solid">
        <fgColor rgb="FFF8D7DA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8" fillId="6" borderId="0" xfId="0" applyFont="1" applyFill="1" applyAlignment="1">
      <alignment horizontal="left" vertical="top" wrapText="1"/>
    </xf>
    <xf numFmtId="0" fontId="11" fillId="9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1" fillId="8" borderId="0" xfId="0" applyFont="1" applyFill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2" fillId="0" borderId="0" xfId="0" applyFont="1"/>
    <xf numFmtId="167" fontId="13" fillId="0" borderId="1" xfId="0" applyNumberFormat="1" applyFont="1" applyBorder="1" applyAlignment="1">
      <alignment horizontal="right" vertical="center"/>
    </xf>
    <xf numFmtId="167" fontId="14" fillId="0" borderId="1" xfId="0" applyNumberFormat="1" applyFont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2" fontId="13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" fontId="8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right" vertical="center"/>
    </xf>
    <xf numFmtId="165" fontId="14" fillId="0" borderId="1" xfId="0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5" fontId="13" fillId="0" borderId="1" xfId="0" applyNumberFormat="1" applyFont="1" applyBorder="1" applyAlignment="1">
      <alignment horizontal="right" vertical="center"/>
    </xf>
    <xf numFmtId="169" fontId="8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168" fontId="4" fillId="0" borderId="1" xfId="0" applyNumberFormat="1" applyFont="1" applyBorder="1" applyAlignment="1">
      <alignment horizontal="right" vertical="center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1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164" fontId="13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6" fontId="13" fillId="0" borderId="1" xfId="0" applyNumberFormat="1" applyFont="1" applyBorder="1" applyAlignment="1">
      <alignment horizontal="right" vertical="center"/>
    </xf>
    <xf numFmtId="10" fontId="13" fillId="0" borderId="1" xfId="0" applyNumberFormat="1" applyFont="1" applyBorder="1" applyAlignment="1">
      <alignment horizontal="right" vertical="center"/>
    </xf>
    <xf numFmtId="172" fontId="13" fillId="0" borderId="1" xfId="0" applyNumberFormat="1" applyFont="1" applyBorder="1" applyAlignment="1">
      <alignment horizontal="right" vertical="center"/>
    </xf>
    <xf numFmtId="172" fontId="8" fillId="0" borderId="1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17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top" wrapText="1"/>
    </xf>
    <xf numFmtId="0" fontId="16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173" fontId="13" fillId="4" borderId="1" xfId="0" applyNumberFormat="1" applyFont="1" applyFill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20"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C00000"/>
        <name val="Arial"/>
        <charset val="1"/>
      </font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C00000"/>
        <name val="Arial"/>
        <charset val="1"/>
      </font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9C0006"/>
      <rgbColor rgb="FF008000"/>
      <rgbColor rgb="FF000080"/>
      <rgbColor rgb="FF7F7F7F"/>
      <rgbColor rgb="FF800080"/>
      <rgbColor rgb="FF1F5F5B"/>
      <rgbColor rgb="FFBFBFBF"/>
      <rgbColor rgb="FF808080"/>
      <rgbColor rgb="FF8FAADC"/>
      <rgbColor rgb="FF993366"/>
      <rgbColor rgb="FFFFF2CC"/>
      <rgbColor rgb="FFEAF4EA"/>
      <rgbColor rgb="FF660066"/>
      <rgbColor rgb="FFFF8080"/>
      <rgbColor rgb="FF0563C1"/>
      <rgbColor rgb="FFD9D9D9"/>
      <rgbColor rgb="FF000080"/>
      <rgbColor rgb="FFFF00FF"/>
      <rgbColor rgb="FFFDF3E7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E1F2"/>
      <rgbColor rgb="FFF8D7DA"/>
      <rgbColor rgb="FFA5A5A5"/>
      <rgbColor rgb="FFFFC7CE"/>
      <rgbColor rgb="FF3366FF"/>
      <rgbColor rgb="FF33CCCC"/>
      <rgbColor rgb="FF99CC00"/>
      <rgbColor rgb="FFFDECEA"/>
      <rgbColor rgb="FFFF9900"/>
      <rgbColor rgb="FFC55A11"/>
      <rgbColor rgb="FF595959"/>
      <rgbColor rgb="FF878787"/>
      <rgbColor rgb="FF1F3864"/>
      <rgbColor rgb="FF339966"/>
      <rgbColor rgb="FF006100"/>
      <rgbColor rgb="FF333300"/>
      <rgbColor rgb="FF9C57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from operations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Inputs'!$B$6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Inputs'!$C$5:$E$5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Inputs'!$C$6:$E$6</c:f>
              <c:numCache>
                <c:formatCode>#,##0.00;\(#,##0.00\);\-</c:formatCode>
                <c:ptCount val="3"/>
                <c:pt idx="0">
                  <c:v>139078.26999999999</c:v>
                </c:pt>
                <c:pt idx="1">
                  <c:v>159210.82</c:v>
                </c:pt>
                <c:pt idx="2">
                  <c:v>197792.78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B-4D6C-AACA-AD72F992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63506"/>
        <c:axId val="45929947"/>
      </c:barChart>
      <c:catAx>
        <c:axId val="34463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29947"/>
        <c:crosses val="autoZero"/>
        <c:auto val="1"/>
        <c:lblAlgn val="ctr"/>
        <c:lblOffset val="100"/>
        <c:noMultiLvlLbl val="0"/>
      </c:catAx>
      <c:valAx>
        <c:axId val="45929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635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PBT margin and profit margin (% of 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Ratios'!$B$7</c:f>
              <c:strCache>
                <c:ptCount val="1"/>
                <c:pt idx="0">
                  <c:v>PBT margin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Ratios'!$C$5:$E$5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Ratios'!$C$7:$E$7</c:f>
              <c:numCache>
                <c:formatCode>0.00%;\(0.00%\);\-</c:formatCode>
                <c:ptCount val="3"/>
                <c:pt idx="0">
                  <c:v>0.11488343937554013</c:v>
                </c:pt>
                <c:pt idx="1">
                  <c:v>0.11983871447932998</c:v>
                </c:pt>
                <c:pt idx="2">
                  <c:v>0.12732901575072658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7-48F8-87C7-596FF60A05A7}"/>
            </c:ext>
          </c:extLst>
        </c:ser>
        <c:ser>
          <c:idx val="1"/>
          <c:order val="1"/>
          <c:tx>
            <c:strRef>
              <c:f>'Financial Ratios'!$B$8</c:f>
              <c:strCache>
                <c:ptCount val="1"/>
                <c:pt idx="0">
                  <c:v>Consolidated profit margin</c:v>
                </c:pt>
              </c:strCache>
            </c:strRef>
          </c:tx>
          <c:spPr>
            <a:ln w="28080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Ratios'!$C$5:$E$5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Ratios'!$C$8:$E$8</c:f>
              <c:numCache>
                <c:formatCode>0.00%;\(0.00%\);\-</c:formatCode>
                <c:ptCount val="3"/>
                <c:pt idx="0">
                  <c:v>8.8222408863728327E-2</c:v>
                </c:pt>
                <c:pt idx="1">
                  <c:v>8.8393301410042355E-2</c:v>
                </c:pt>
                <c:pt idx="2">
                  <c:v>9.4147572019565112E-2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7-48F8-87C7-596FF60A0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5185753"/>
        <c:axId val="11424623"/>
      </c:lineChart>
      <c:catAx>
        <c:axId val="55185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24623"/>
        <c:crosses val="autoZero"/>
        <c:auto val="1"/>
        <c:lblAlgn val="ctr"/>
        <c:lblOffset val="100"/>
        <c:noMultiLvlLbl val="0"/>
      </c:catAx>
      <c:valAx>
        <c:axId val="1142462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 of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857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Borrowings excl. leases: non-current vs current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'Financial Inputs'!$B$20</c:f>
              <c:strCache>
                <c:ptCount val="1"/>
                <c:pt idx="0">
                  <c:v>Non-current borrowings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Inputs'!$C$5:$E$5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Inputs'!$C$20:$E$20</c:f>
              <c:numCache>
                <c:formatCode>#,##0.00;\(#,##0.00\);\-</c:formatCode>
                <c:ptCount val="3"/>
                <c:pt idx="0">
                  <c:v>67719.69</c:v>
                </c:pt>
                <c:pt idx="1">
                  <c:v>79707.19</c:v>
                </c:pt>
                <c:pt idx="2">
                  <c:v>73469.929999999993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A-475E-8E92-3FEBF5057B37}"/>
            </c:ext>
          </c:extLst>
        </c:ser>
        <c:ser>
          <c:idx val="1"/>
          <c:order val="1"/>
          <c:tx>
            <c:strRef>
              <c:f>'Financial Inputs'!$B$21</c:f>
              <c:strCache>
                <c:ptCount val="1"/>
                <c:pt idx="0">
                  <c:v>Current borrowings</c:v>
                </c:pt>
              </c:strCache>
            </c:strRef>
          </c:tx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Inputs'!$C$5:$E$5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Inputs'!$C$21:$E$21</c:f>
              <c:numCache>
                <c:formatCode>#,##0.00;\(#,##0.00\);\-</c:formatCode>
                <c:ptCount val="3"/>
                <c:pt idx="0">
                  <c:v>35483.54</c:v>
                </c:pt>
                <c:pt idx="1">
                  <c:v>41465.760000000002</c:v>
                </c:pt>
                <c:pt idx="2">
                  <c:v>56144.57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A-475E-8E92-3FEBF5057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42803"/>
        <c:axId val="17904726"/>
      </c:barChart>
      <c:catAx>
        <c:axId val="78142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04726"/>
        <c:crosses val="autoZero"/>
        <c:auto val="1"/>
        <c:lblAlgn val="ctr"/>
        <c:lblOffset val="100"/>
        <c:noMultiLvlLbl val="0"/>
      </c:catAx>
      <c:valAx>
        <c:axId val="17904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1428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Cash flows: operating, investing, financing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Inputs'!$B$29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Inputs'!$C$5:$E$5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Inputs'!$C$29:$E$29</c:f>
              <c:numCache>
                <c:formatCode>#,##0.00;\(#,##0.00\);\-</c:formatCode>
                <c:ptCount val="3"/>
                <c:pt idx="0">
                  <c:v>-5629.95</c:v>
                </c:pt>
                <c:pt idx="1">
                  <c:v>-290.8</c:v>
                </c:pt>
                <c:pt idx="2">
                  <c:v>11657.36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F-43AE-8361-2157A02DC80C}"/>
            </c:ext>
          </c:extLst>
        </c:ser>
        <c:ser>
          <c:idx val="1"/>
          <c:order val="1"/>
          <c:tx>
            <c:strRef>
              <c:f>'Financial Inputs'!$B$30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Inputs'!$C$5:$E$5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Inputs'!$C$30:$E$30</c:f>
              <c:numCache>
                <c:formatCode>#,##0.00;\(#,##0.00\);\-</c:formatCode>
                <c:ptCount val="3"/>
                <c:pt idx="0">
                  <c:v>-5597.77</c:v>
                </c:pt>
                <c:pt idx="1">
                  <c:v>-15159.5</c:v>
                </c:pt>
                <c:pt idx="2">
                  <c:v>-17707.39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F-43AE-8361-2157A02DC80C}"/>
            </c:ext>
          </c:extLst>
        </c:ser>
        <c:ser>
          <c:idx val="2"/>
          <c:order val="2"/>
          <c:tx>
            <c:strRef>
              <c:f>'Financial Inputs'!$B$31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Inputs'!$C$5:$E$5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Inputs'!$C$31:$E$31</c:f>
              <c:numCache>
                <c:formatCode>#,##0.00;\(#,##0.00\);\-</c:formatCode>
                <c:ptCount val="3"/>
                <c:pt idx="0">
                  <c:v>12281.41</c:v>
                </c:pt>
                <c:pt idx="1">
                  <c:v>15834.11</c:v>
                </c:pt>
                <c:pt idx="2">
                  <c:v>5391.04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F-43AE-8361-2157A02DC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925970"/>
        <c:axId val="51543474"/>
      </c:barChart>
      <c:catAx>
        <c:axId val="82925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43474"/>
        <c:crosses val="autoZero"/>
        <c:auto val="1"/>
        <c:lblAlgn val="ctr"/>
        <c:lblOffset val="100"/>
        <c:noMultiLvlLbl val="0"/>
      </c:catAx>
      <c:valAx>
        <c:axId val="51543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259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Liquidity &amp; cash-flow cover of borrowings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Ratios'!$B$16</c:f>
              <c:strCache>
                <c:ptCount val="1"/>
                <c:pt idx="0">
                  <c:v>Cash and cash equivalents / borrowings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Ratios'!$C$5:$E$5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Ratios'!$C$16:$E$16</c:f>
              <c:numCache>
                <c:formatCode>0.00%;\(0.00%\);\-</c:formatCode>
                <c:ptCount val="3"/>
                <c:pt idx="0">
                  <c:v>4.3894943985764795E-2</c:v>
                </c:pt>
                <c:pt idx="1">
                  <c:v>4.0635224280666606E-2</c:v>
                </c:pt>
                <c:pt idx="2">
                  <c:v>3.3115430758132766E-2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0-4085-983D-615844B29159}"/>
            </c:ext>
          </c:extLst>
        </c:ser>
        <c:ser>
          <c:idx val="1"/>
          <c:order val="1"/>
          <c:tx>
            <c:strRef>
              <c:f>'Financial Ratios'!$B$17</c:f>
              <c:strCache>
                <c:ptCount val="1"/>
                <c:pt idx="0">
                  <c:v>(Cash + other bank balances) / borrowings – GROSS INDICATOR</c:v>
                </c:pt>
              </c:strCache>
            </c:strRef>
          </c:tx>
          <c:spPr>
            <a:ln w="28080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Ratios'!$C$5:$E$5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Ratios'!$C$17:$E$17</c:f>
              <c:numCache>
                <c:formatCode>0.00%;\(0.00%\);\-</c:formatCode>
                <c:ptCount val="3"/>
                <c:pt idx="0">
                  <c:v>0.28813090443002609</c:v>
                </c:pt>
                <c:pt idx="1">
                  <c:v>0.17012740879874594</c:v>
                </c:pt>
                <c:pt idx="2">
                  <c:v>0.2467206986872611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0-4085-983D-615844B29159}"/>
            </c:ext>
          </c:extLst>
        </c:ser>
        <c:ser>
          <c:idx val="2"/>
          <c:order val="2"/>
          <c:tx>
            <c:strRef>
              <c:f>'Financial Ratios'!$B$19</c:f>
              <c:strCache>
                <c:ptCount val="1"/>
                <c:pt idx="0">
                  <c:v>CFO / borrowings</c:v>
                </c:pt>
              </c:strCache>
            </c:strRef>
          </c:tx>
          <c:spPr>
            <a:ln w="28080">
              <a:solidFill>
                <a:srgbClr val="8FAADC"/>
              </a:solidFill>
              <a:round/>
            </a:ln>
          </c:spPr>
          <c:marker>
            <c:symbol val="circle"/>
            <c:size val="7"/>
            <c:spPr>
              <a:solidFill>
                <a:srgbClr val="8FAAD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Ratios'!$C$5:$E$5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'Financial Ratios'!$C$19:$E$19</c:f>
              <c:numCache>
                <c:formatCode>0.00%;\(0.00%\);\-</c:formatCode>
                <c:ptCount val="3"/>
                <c:pt idx="0">
                  <c:v>-5.4552071674500886E-2</c:v>
                </c:pt>
                <c:pt idx="1">
                  <c:v>-2.3998755497823569E-3</c:v>
                </c:pt>
                <c:pt idx="2">
                  <c:v>8.9938702845746427E-2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0-4085-983D-615844B29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69637"/>
        <c:axId val="16520690"/>
      </c:lineChart>
      <c:catAx>
        <c:axId val="6069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20690"/>
        <c:crosses val="autoZero"/>
        <c:auto val="1"/>
        <c:lblAlgn val="ctr"/>
        <c:lblOffset val="100"/>
        <c:noMultiLvlLbl val="0"/>
      </c:catAx>
      <c:valAx>
        <c:axId val="16520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of borrowings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696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Financial Services Stage 3 ratios (gross vs net)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 Services Asset Quality'!$A$19</c:f>
              <c:strCache>
                <c:ptCount val="1"/>
                <c:pt idx="0">
                  <c:v>Gross Stage 3 / gross loans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 Services Asset Quality'!$B$5:$D$5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 Services Asset Quality'!$B$19:$D$19</c:f>
              <c:numCache>
                <c:formatCode>0.00%;\(0.00%\);\-</c:formatCode>
                <c:ptCount val="3"/>
                <c:pt idx="0">
                  <c:v>3.870220847882571E-2</c:v>
                </c:pt>
                <c:pt idx="1">
                  <c:v>4.0673704967312756E-2</c:v>
                </c:pt>
                <c:pt idx="2">
                  <c:v>3.4154674132649249E-2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D-4BB2-9C0F-67C3B663C081}"/>
            </c:ext>
          </c:extLst>
        </c:ser>
        <c:ser>
          <c:idx val="1"/>
          <c:order val="1"/>
          <c:tx>
            <c:strRef>
              <c:f>'Fin Services Asset Quality'!$A$20</c:f>
              <c:strCache>
                <c:ptCount val="1"/>
                <c:pt idx="0">
                  <c:v>Net Stage 3 / net carrying amount</c:v>
                </c:pt>
              </c:strCache>
            </c:strRef>
          </c:tx>
          <c:spPr>
            <a:ln w="28080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 Services Asset Quality'!$B$5:$D$5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 Services Asset Quality'!$B$20:$D$20</c:f>
              <c:numCache>
                <c:formatCode>0.00%;\(0.00%\);\-</c:formatCode>
                <c:ptCount val="3"/>
                <c:pt idx="0">
                  <c:v>1.6803746496501626E-2</c:v>
                </c:pt>
                <c:pt idx="1">
                  <c:v>1.8695137971105443E-2</c:v>
                </c:pt>
                <c:pt idx="2">
                  <c:v>1.443739609803203E-2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ED-4BB2-9C0F-67C3B663C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957140"/>
        <c:axId val="48401950"/>
      </c:lineChart>
      <c:catAx>
        <c:axId val="759571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01950"/>
        <c:crosses val="autoZero"/>
        <c:auto val="1"/>
        <c:lblAlgn val="ctr"/>
        <c:lblOffset val="100"/>
        <c:noMultiLvlLbl val="0"/>
      </c:catAx>
      <c:valAx>
        <c:axId val="484019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of loans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571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External revenue by segment (₹ crore, 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'Segment Analysis'!$A$7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Analysis'!$B$6:$D$6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Analysis'!$B$7:$D$7</c:f>
              <c:numCache>
                <c:formatCode>#,##0.00;\(#,##0.00\);\-</c:formatCode>
                <c:ptCount val="3"/>
                <c:pt idx="0">
                  <c:v>75488.31</c:v>
                </c:pt>
                <c:pt idx="1">
                  <c:v>90424.08</c:v>
                </c:pt>
                <c:pt idx="2">
                  <c:v>117363.87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2-4E4E-8D21-A234AFB45E1D}"/>
            </c:ext>
          </c:extLst>
        </c:ser>
        <c:ser>
          <c:idx val="1"/>
          <c:order val="1"/>
          <c:tx>
            <c:strRef>
              <c:f>'Segment Analysis'!$A$8</c:f>
              <c:strCache>
                <c:ptCount val="1"/>
                <c:pt idx="0">
                  <c:v>Farm Equipment</c:v>
                </c:pt>
              </c:strCache>
            </c:strRef>
          </c:tx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Analysis'!$B$6:$D$6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Analysis'!$B$8:$D$8</c:f>
              <c:numCache>
                <c:formatCode>#,##0.00;\(#,##0.00\);\-</c:formatCode>
                <c:ptCount val="3"/>
                <c:pt idx="0">
                  <c:v>33398.870000000003</c:v>
                </c:pt>
                <c:pt idx="1">
                  <c:v>35315.81</c:v>
                </c:pt>
                <c:pt idx="2">
                  <c:v>42397.440000000002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2-4E4E-8D21-A234AFB45E1D}"/>
            </c:ext>
          </c:extLst>
        </c:ser>
        <c:ser>
          <c:idx val="2"/>
          <c:order val="2"/>
          <c:tx>
            <c:strRef>
              <c:f>'Segment Analysis'!$A$9</c:f>
              <c:strCache>
                <c:ptCount val="1"/>
                <c:pt idx="0">
                  <c:v>Financial Services</c:v>
                </c:pt>
              </c:strCache>
            </c:strRef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Analysis'!$B$6:$D$6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Analysis'!$B$9:$D$9</c:f>
              <c:numCache>
                <c:formatCode>#,##0.00;\(#,##0.00\);\-</c:formatCode>
                <c:ptCount val="3"/>
                <c:pt idx="0">
                  <c:v>15652.02</c:v>
                </c:pt>
                <c:pt idx="1">
                  <c:v>18295.830000000002</c:v>
                </c:pt>
                <c:pt idx="2">
                  <c:v>20817.689999999999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12-4E4E-8D21-A234AFB45E1D}"/>
            </c:ext>
          </c:extLst>
        </c:ser>
        <c:ser>
          <c:idx val="3"/>
          <c:order val="3"/>
          <c:tx>
            <c:strRef>
              <c:f>'Segment Analysis'!$A$10</c:f>
              <c:strCache>
                <c:ptCount val="1"/>
                <c:pt idx="0">
                  <c:v>Industrial Businesses &amp; Consumer Services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A5A5A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Analysis'!$B$6:$D$6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Analysis'!$B$10:$D$10</c:f>
              <c:numCache>
                <c:formatCode>#,##0.00;\(#,##0.00\);\-</c:formatCode>
                <c:ptCount val="3"/>
                <c:pt idx="0">
                  <c:v>14539.07</c:v>
                </c:pt>
                <c:pt idx="1">
                  <c:v>15175.1</c:v>
                </c:pt>
                <c:pt idx="2">
                  <c:v>18059.55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12-4E4E-8D21-A234AFB45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42632"/>
        <c:axId val="48342793"/>
      </c:barChart>
      <c:catAx>
        <c:axId val="5894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42793"/>
        <c:crosses val="autoZero"/>
        <c:auto val="1"/>
        <c:lblAlgn val="ctr"/>
        <c:lblOffset val="100"/>
        <c:noMultiLvlLbl val="0"/>
      </c:catAx>
      <c:valAx>
        <c:axId val="48342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426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Segment result after associates/JVs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Analysis'!$A$17</c:f>
              <c:strCache>
                <c:ptCount val="1"/>
                <c:pt idx="0">
                  <c:v>Automotive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Analysis'!$B$16:$D$16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Analysis'!$B$17:$D$17</c:f>
              <c:numCache>
                <c:formatCode>#,##0.00;\(#,##0.00\);\-</c:formatCode>
                <c:ptCount val="3"/>
                <c:pt idx="0">
                  <c:v>6057.12</c:v>
                </c:pt>
                <c:pt idx="1">
                  <c:v>7797.4</c:v>
                </c:pt>
                <c:pt idx="2">
                  <c:v>10383.469999999999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1-48B2-9957-0E595919B27E}"/>
            </c:ext>
          </c:extLst>
        </c:ser>
        <c:ser>
          <c:idx val="1"/>
          <c:order val="1"/>
          <c:tx>
            <c:strRef>
              <c:f>'Segment Analysis'!$A$18</c:f>
              <c:strCache>
                <c:ptCount val="1"/>
                <c:pt idx="0">
                  <c:v>Farm Equipment</c:v>
                </c:pt>
              </c:strCache>
            </c:strRef>
          </c:tx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Analysis'!$B$16:$D$16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Analysis'!$B$18:$D$18</c:f>
              <c:numCache>
                <c:formatCode>#,##0.00;\(#,##0.00\);\-</c:formatCode>
                <c:ptCount val="3"/>
                <c:pt idx="0">
                  <c:v>4326.62</c:v>
                </c:pt>
                <c:pt idx="1">
                  <c:v>4946.6499999999996</c:v>
                </c:pt>
                <c:pt idx="2">
                  <c:v>5516.9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1-48B2-9957-0E595919B27E}"/>
            </c:ext>
          </c:extLst>
        </c:ser>
        <c:ser>
          <c:idx val="2"/>
          <c:order val="2"/>
          <c:tx>
            <c:strRef>
              <c:f>'Segment Analysis'!$A$19</c:f>
              <c:strCache>
                <c:ptCount val="1"/>
                <c:pt idx="0">
                  <c:v>Financial Services</c:v>
                </c:pt>
              </c:strCache>
            </c:strRef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Analysis'!$B$16:$D$16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Analysis'!$B$19:$D$19</c:f>
              <c:numCache>
                <c:formatCode>#,##0.00;\(#,##0.00\);\-</c:formatCode>
                <c:ptCount val="3"/>
                <c:pt idx="0">
                  <c:v>2557.2199999999998</c:v>
                </c:pt>
                <c:pt idx="1">
                  <c:v>3002.02</c:v>
                </c:pt>
                <c:pt idx="2">
                  <c:v>3778.53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51-48B2-9957-0E595919B27E}"/>
            </c:ext>
          </c:extLst>
        </c:ser>
        <c:ser>
          <c:idx val="3"/>
          <c:order val="3"/>
          <c:tx>
            <c:strRef>
              <c:f>'Segment Analysis'!$A$20</c:f>
              <c:strCache>
                <c:ptCount val="1"/>
                <c:pt idx="0">
                  <c:v>Industrial Businesses &amp; Consumer Services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A5A5A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Analysis'!$B$16:$D$16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'Segment Analysis'!$B$20:$D$20</c:f>
              <c:numCache>
                <c:formatCode>#,##0.00;\(#,##0.00\);\-</c:formatCode>
                <c:ptCount val="3"/>
                <c:pt idx="0">
                  <c:v>2259.12</c:v>
                </c:pt>
                <c:pt idx="1">
                  <c:v>2717.52</c:v>
                </c:pt>
                <c:pt idx="2">
                  <c:v>3704.64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51-48B2-9957-0E595919B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24161"/>
        <c:axId val="65239554"/>
      </c:barChart>
      <c:catAx>
        <c:axId val="96424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239554"/>
        <c:crosses val="autoZero"/>
        <c:auto val="1"/>
        <c:lblAlgn val="ctr"/>
        <c:lblOffset val="100"/>
        <c:noMultiLvlLbl val="0"/>
      </c:catAx>
      <c:valAx>
        <c:axId val="65239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4241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Stage 3 ratios – gross vs net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 Services Asset Quality'!$A$19</c:f>
              <c:strCache>
                <c:ptCount val="1"/>
                <c:pt idx="0">
                  <c:v>Gross Stage 3 / gross loans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 Services Asset Quality'!$B$5:$D$5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 Services Asset Quality'!$B$19:$D$19</c:f>
              <c:numCache>
                <c:formatCode>0.00%;\(0.00%\);\-</c:formatCode>
                <c:ptCount val="3"/>
                <c:pt idx="0">
                  <c:v>3.870220847882571E-2</c:v>
                </c:pt>
                <c:pt idx="1">
                  <c:v>4.0673704967312756E-2</c:v>
                </c:pt>
                <c:pt idx="2">
                  <c:v>3.4154674132649249E-2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C-4B9D-9EF8-DF6977033B0D}"/>
            </c:ext>
          </c:extLst>
        </c:ser>
        <c:ser>
          <c:idx val="1"/>
          <c:order val="1"/>
          <c:tx>
            <c:strRef>
              <c:f>'Fin Services Asset Quality'!$A$20</c:f>
              <c:strCache>
                <c:ptCount val="1"/>
                <c:pt idx="0">
                  <c:v>Net Stage 3 / net carrying amount</c:v>
                </c:pt>
              </c:strCache>
            </c:strRef>
          </c:tx>
          <c:spPr>
            <a:ln w="28080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 Services Asset Quality'!$B$5:$D$5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 Services Asset Quality'!$B$20:$D$20</c:f>
              <c:numCache>
                <c:formatCode>0.00%;\(0.00%\);\-</c:formatCode>
                <c:ptCount val="3"/>
                <c:pt idx="0">
                  <c:v>1.6803746496501626E-2</c:v>
                </c:pt>
                <c:pt idx="1">
                  <c:v>1.8695137971105443E-2</c:v>
                </c:pt>
                <c:pt idx="2">
                  <c:v>1.443739609803203E-2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2C-4B9D-9EF8-DF6977033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466463"/>
        <c:axId val="48010282"/>
      </c:lineChart>
      <c:catAx>
        <c:axId val="104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10282"/>
        <c:crosses val="autoZero"/>
        <c:auto val="1"/>
        <c:lblAlgn val="ctr"/>
        <c:lblOffset val="100"/>
        <c:noMultiLvlLbl val="0"/>
      </c:catAx>
      <c:valAx>
        <c:axId val="480102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of loans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664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Gross loans vs Stage 3 balance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 Services Asset Quality'!$A$10</c:f>
              <c:strCache>
                <c:ptCount val="1"/>
                <c:pt idx="0">
                  <c:v>Total gross loan balance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 Services Asset Quality'!$B$5:$D$5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 Services Asset Quality'!$B$10:$D$10</c:f>
              <c:numCache>
                <c:formatCode>#,##0.00;\(#,##0.00\);\-</c:formatCode>
                <c:ptCount val="3"/>
                <c:pt idx="0">
                  <c:v>107144.79</c:v>
                </c:pt>
                <c:pt idx="1">
                  <c:v>124387.98</c:v>
                </c:pt>
                <c:pt idx="2">
                  <c:v>140241.42000000001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8-4A50-B009-24D48728E383}"/>
            </c:ext>
          </c:extLst>
        </c:ser>
        <c:ser>
          <c:idx val="1"/>
          <c:order val="1"/>
          <c:tx>
            <c:strRef>
              <c:f>'Fin Services Asset Quality'!$A$9</c:f>
              <c:strCache>
                <c:ptCount val="1"/>
                <c:pt idx="0">
                  <c:v>Stage 3 gross balance</c:v>
                </c:pt>
              </c:strCache>
            </c:strRef>
          </c:tx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 Services Asset Quality'!$B$5:$D$5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FY2026</c:v>
                </c:pt>
              </c:strCache>
            </c:strRef>
          </c:cat>
          <c:val>
            <c:numRef>
              <c:f>'Fin Services Asset Quality'!$B$9:$D$9</c:f>
              <c:numCache>
                <c:formatCode>#,##0.00;\(#,##0.00\);\-</c:formatCode>
                <c:ptCount val="3"/>
                <c:pt idx="0">
                  <c:v>4146.74</c:v>
                </c:pt>
                <c:pt idx="1">
                  <c:v>5059.32</c:v>
                </c:pt>
                <c:pt idx="2">
                  <c:v>4789.8999999999996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8-4A50-B009-24D48728E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17015"/>
        <c:axId val="63678616"/>
      </c:barChart>
      <c:catAx>
        <c:axId val="91417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78616"/>
        <c:crosses val="autoZero"/>
        <c:auto val="1"/>
        <c:lblAlgn val="ctr"/>
        <c:lblOffset val="100"/>
        <c:noMultiLvlLbl val="0"/>
      </c:catAx>
      <c:valAx>
        <c:axId val="63678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4170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Borrowings principal by maturity bucket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FY2024</c:v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Liquidity'!$B$32:$E$32</c:f>
              <c:numCache>
                <c:formatCode>#,##0.00;\(#,##0.00\);\-</c:formatCode>
                <c:ptCount val="4"/>
                <c:pt idx="0">
                  <c:v>35483.54</c:v>
                </c:pt>
                <c:pt idx="1">
                  <c:v>46077.06</c:v>
                </c:pt>
                <c:pt idx="2">
                  <c:v>12469.49</c:v>
                </c:pt>
                <c:pt idx="3">
                  <c:v>9274.33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9-4870-B994-8E23AB91ECF8}"/>
            </c:ext>
          </c:extLst>
        </c:ser>
        <c:ser>
          <c:idx val="1"/>
          <c:order val="1"/>
          <c:tx>
            <c:v>FY2025</c:v>
          </c:tx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Liquidity'!$B$20:$E$20</c:f>
              <c:numCache>
                <c:formatCode>#,##0.00;\(#,##0.00\);\-</c:formatCode>
                <c:ptCount val="4"/>
                <c:pt idx="0">
                  <c:v>41465.760000000002</c:v>
                </c:pt>
                <c:pt idx="1">
                  <c:v>56776.23</c:v>
                </c:pt>
                <c:pt idx="2">
                  <c:v>15067.65</c:v>
                </c:pt>
                <c:pt idx="3">
                  <c:v>8211.6200000000008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9-4870-B994-8E23AB91ECF8}"/>
            </c:ext>
          </c:extLst>
        </c:ser>
        <c:ser>
          <c:idx val="2"/>
          <c:order val="2"/>
          <c:tx>
            <c:v>FY2026</c:v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Liquidity'!$B$8:$E$8</c:f>
              <c:numCache>
                <c:formatCode>#,##0.00;\(#,##0.00\);\-</c:formatCode>
                <c:ptCount val="4"/>
                <c:pt idx="0">
                  <c:v>56144.57</c:v>
                </c:pt>
                <c:pt idx="1">
                  <c:v>56005.88</c:v>
                </c:pt>
                <c:pt idx="2">
                  <c:v>9455.84</c:v>
                </c:pt>
                <c:pt idx="3">
                  <c:v>8093.25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69-4870-B994-8E23AB91E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42634"/>
        <c:axId val="84322796"/>
      </c:barChart>
      <c:catAx>
        <c:axId val="447426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22796"/>
        <c:crosses val="autoZero"/>
        <c:auto val="1"/>
        <c:lblAlgn val="ctr"/>
        <c:lblOffset val="100"/>
        <c:noMultiLvlLbl val="0"/>
      </c:catAx>
      <c:valAx>
        <c:axId val="843227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426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FY2026 contractual cash flows by bucket (₹ crore, 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Borrowings principal</c:v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Liquidity'!$B$8:$E$8</c:f>
              <c:numCache>
                <c:formatCode>#,##0.00;\(#,##0.00\);\-</c:formatCode>
                <c:ptCount val="4"/>
                <c:pt idx="0">
                  <c:v>56144.57</c:v>
                </c:pt>
                <c:pt idx="1">
                  <c:v>56005.88</c:v>
                </c:pt>
                <c:pt idx="2">
                  <c:v>9455.84</c:v>
                </c:pt>
                <c:pt idx="3">
                  <c:v>8093.25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C-46E1-A8E8-0D28F126D4F0}"/>
            </c:ext>
          </c:extLst>
        </c:ser>
        <c:ser>
          <c:idx val="1"/>
          <c:order val="1"/>
          <c:tx>
            <c:v>Borrowings interest</c:v>
          </c:tx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Liquidity'!$B$9:$E$9</c:f>
              <c:numCache>
                <c:formatCode>#,##0.00;\(#,##0.00\);\-</c:formatCode>
                <c:ptCount val="4"/>
                <c:pt idx="0">
                  <c:v>7314.51</c:v>
                </c:pt>
                <c:pt idx="1">
                  <c:v>7034.3</c:v>
                </c:pt>
                <c:pt idx="2">
                  <c:v>2082.91</c:v>
                </c:pt>
                <c:pt idx="3">
                  <c:v>3108.6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C-46E1-A8E8-0D28F126D4F0}"/>
            </c:ext>
          </c:extLst>
        </c:ser>
        <c:ser>
          <c:idx val="2"/>
          <c:order val="2"/>
          <c:tx>
            <c:v>Trade payables</c:v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Liquidity'!$B$10:$E$10</c:f>
              <c:numCache>
                <c:formatCode>#,##0.00;\(#,##0.00\);\-</c:formatCode>
                <c:ptCount val="4"/>
                <c:pt idx="0">
                  <c:v>37888.67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C-46E1-A8E8-0D28F126D4F0}"/>
            </c:ext>
          </c:extLst>
        </c:ser>
        <c:ser>
          <c:idx val="3"/>
          <c:order val="3"/>
          <c:tx>
            <c:v>Lease liabilities including interest</c:v>
          </c:tx>
          <c:spPr>
            <a:solidFill>
              <a:srgbClr val="A5A5A5"/>
            </a:solidFill>
            <a:ln w="0">
              <a:solidFill>
                <a:srgbClr val="A5A5A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Liquidity'!$B$12:$E$12</c:f>
              <c:numCache>
                <c:formatCode>#,##0.00;\(#,##0.00\);\-</c:formatCode>
                <c:ptCount val="4"/>
                <c:pt idx="0">
                  <c:v>789.82</c:v>
                </c:pt>
                <c:pt idx="1">
                  <c:v>1139.31</c:v>
                </c:pt>
                <c:pt idx="2">
                  <c:v>1035.54</c:v>
                </c:pt>
                <c:pt idx="3">
                  <c:v>2415.98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6C-46E1-A8E8-0D28F126D4F0}"/>
            </c:ext>
          </c:extLst>
        </c:ser>
        <c:ser>
          <c:idx val="4"/>
          <c:order val="4"/>
          <c:tx>
            <c:v>Other financial liabilities</c:v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Maturity &amp; Liquidity'!$B$7:$E$7</c:f>
              <c:strCache>
                <c:ptCount val="4"/>
                <c:pt idx="0">
                  <c:v>&lt; 1 year</c:v>
                </c:pt>
                <c:pt idx="1">
                  <c:v>1–3 years</c:v>
                </c:pt>
                <c:pt idx="2">
                  <c:v>3–5 years</c:v>
                </c:pt>
                <c:pt idx="3">
                  <c:v>&gt; 5 years</c:v>
                </c:pt>
              </c:strCache>
            </c:strRef>
          </c:cat>
          <c:val>
            <c:numRef>
              <c:f>'Debt Maturity &amp; Liquidity'!$B$13:$E$13</c:f>
              <c:numCache>
                <c:formatCode>#,##0.00;\(#,##0.00\);\-</c:formatCode>
                <c:ptCount val="4"/>
                <c:pt idx="0">
                  <c:v>4168.6400000000003</c:v>
                </c:pt>
                <c:pt idx="1">
                  <c:v>397.87</c:v>
                </c:pt>
                <c:pt idx="2">
                  <c:v>10.79</c:v>
                </c:pt>
                <c:pt idx="3">
                  <c:v>129.80000000000001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6C-46E1-A8E8-0D28F126D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959199"/>
        <c:axId val="45473201"/>
      </c:barChart>
      <c:catAx>
        <c:axId val="7795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473201"/>
        <c:crosses val="autoZero"/>
        <c:auto val="1"/>
        <c:lblAlgn val="ctr"/>
        <c:lblOffset val="100"/>
        <c:noMultiLvlLbl val="0"/>
      </c:catAx>
      <c:valAx>
        <c:axId val="45473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9591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130680</xdr:rowOff>
    </xdr:from>
    <xdr:to>
      <xdr:col>2</xdr:col>
      <xdr:colOff>708480</xdr:colOff>
      <xdr:row>78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63</xdr:row>
      <xdr:rowOff>130680</xdr:rowOff>
    </xdr:from>
    <xdr:to>
      <xdr:col>8</xdr:col>
      <xdr:colOff>26640</xdr:colOff>
      <xdr:row>78</xdr:row>
      <xdr:rowOff>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80</xdr:row>
      <xdr:rowOff>130680</xdr:rowOff>
    </xdr:from>
    <xdr:to>
      <xdr:col>2</xdr:col>
      <xdr:colOff>708480</xdr:colOff>
      <xdr:row>95</xdr:row>
      <xdr:rowOff>9000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80</xdr:row>
      <xdr:rowOff>130680</xdr:rowOff>
    </xdr:from>
    <xdr:to>
      <xdr:col>8</xdr:col>
      <xdr:colOff>26640</xdr:colOff>
      <xdr:row>95</xdr:row>
      <xdr:rowOff>9000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97</xdr:row>
      <xdr:rowOff>131040</xdr:rowOff>
    </xdr:from>
    <xdr:to>
      <xdr:col>2</xdr:col>
      <xdr:colOff>708480</xdr:colOff>
      <xdr:row>112</xdr:row>
      <xdr:rowOff>9000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97</xdr:row>
      <xdr:rowOff>131040</xdr:rowOff>
    </xdr:from>
    <xdr:to>
      <xdr:col>8</xdr:col>
      <xdr:colOff>26640</xdr:colOff>
      <xdr:row>112</xdr:row>
      <xdr:rowOff>9000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128</xdr:row>
      <xdr:rowOff>70560</xdr:rowOff>
    </xdr:from>
    <xdr:to>
      <xdr:col>2</xdr:col>
      <xdr:colOff>920160</xdr:colOff>
      <xdr:row>141</xdr:row>
      <xdr:rowOff>167760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128</xdr:row>
      <xdr:rowOff>70560</xdr:rowOff>
    </xdr:from>
    <xdr:to>
      <xdr:col>5</xdr:col>
      <xdr:colOff>2963880</xdr:colOff>
      <xdr:row>141</xdr:row>
      <xdr:rowOff>167760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130680</xdr:rowOff>
    </xdr:from>
    <xdr:to>
      <xdr:col>1</xdr:col>
      <xdr:colOff>849600</xdr:colOff>
      <xdr:row>59</xdr:row>
      <xdr:rowOff>9000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44</xdr:row>
      <xdr:rowOff>130680</xdr:rowOff>
    </xdr:from>
    <xdr:to>
      <xdr:col>5</xdr:col>
      <xdr:colOff>2400120</xdr:colOff>
      <xdr:row>59</xdr:row>
      <xdr:rowOff>9000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26640</xdr:rowOff>
    </xdr:from>
    <xdr:to>
      <xdr:col>2</xdr:col>
      <xdr:colOff>497160</xdr:colOff>
      <xdr:row>92</xdr:row>
      <xdr:rowOff>114120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80</xdr:row>
      <xdr:rowOff>26640</xdr:rowOff>
    </xdr:from>
    <xdr:to>
      <xdr:col>6</xdr:col>
      <xdr:colOff>1906920</xdr:colOff>
      <xdr:row>92</xdr:row>
      <xdr:rowOff>114120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isilratings.com/mnt/winshare/Ratings/RatingList/RatingDocs/MahindraandMahindraLimited_September%2018_%202026_RR_404981.html" TargetMode="External"/><Relationship Id="rId2" Type="http://schemas.openxmlformats.org/officeDocument/2006/relationships/hyperlink" Target="https://www.mahindra.com/annual-report-FY2025/toc/" TargetMode="External"/><Relationship Id="rId1" Type="http://schemas.openxmlformats.org/officeDocument/2006/relationships/hyperlink" Target="https://www.mahindra.com/annual-report-FY2026/index.html" TargetMode="External"/><Relationship Id="rId4" Type="http://schemas.openxmlformats.org/officeDocument/2006/relationships/hyperlink" Target="https://www.mahindra.com/news-room/press-release/en/financial-results-quarter-4-and-full-year-fy26-standalone-and-consolidated-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G116"/>
  <sheetViews>
    <sheetView showGridLines="0" tabSelected="1" zoomScaleNormal="100" workbookViewId="0">
      <pane ySplit="4" topLeftCell="A5" activePane="bottomLeft" state="frozen"/>
      <selection pane="bottomLeft" activeCell="M71" sqref="M71"/>
    </sheetView>
  </sheetViews>
  <sheetFormatPr defaultColWidth="8.6640625" defaultRowHeight="14.4" x14ac:dyDescent="0.3"/>
  <cols>
    <col min="1" max="1" width="50" customWidth="1"/>
    <col min="2" max="4" width="14" customWidth="1"/>
    <col min="5" max="5" width="15" customWidth="1"/>
    <col min="6" max="6" width="16" customWidth="1"/>
    <col min="7" max="7" width="20" customWidth="1"/>
  </cols>
  <sheetData>
    <row r="1" spans="1:7" ht="21" x14ac:dyDescent="0.4">
      <c r="A1" s="11" t="s">
        <v>0</v>
      </c>
    </row>
    <row r="2" spans="1:7" x14ac:dyDescent="0.3">
      <c r="A2" s="12" t="s">
        <v>1</v>
      </c>
    </row>
    <row r="3" spans="1:7" ht="30" customHeight="1" x14ac:dyDescent="0.3">
      <c r="A3" s="72" t="s">
        <v>656</v>
      </c>
      <c r="B3" s="10"/>
      <c r="C3" s="10"/>
      <c r="D3" s="10"/>
      <c r="E3" s="10"/>
      <c r="F3" s="10"/>
      <c r="G3" s="10"/>
    </row>
    <row r="4" spans="1:7" x14ac:dyDescent="0.3">
      <c r="A4" s="13" t="s">
        <v>2</v>
      </c>
      <c r="B4" s="9" t="s">
        <v>3</v>
      </c>
      <c r="C4" s="9"/>
      <c r="D4" s="9"/>
      <c r="E4" s="9"/>
      <c r="F4" s="9"/>
      <c r="G4" s="9"/>
    </row>
    <row r="5" spans="1:7" x14ac:dyDescent="0.3">
      <c r="A5" s="13" t="s">
        <v>4</v>
      </c>
      <c r="B5" s="9" t="s">
        <v>5</v>
      </c>
      <c r="C5" s="9"/>
      <c r="D5" s="9"/>
      <c r="E5" s="9"/>
      <c r="F5" s="9"/>
      <c r="G5" s="9"/>
    </row>
    <row r="6" spans="1:7" x14ac:dyDescent="0.3">
      <c r="A6" s="13" t="s">
        <v>6</v>
      </c>
      <c r="B6" s="9" t="s">
        <v>7</v>
      </c>
      <c r="C6" s="9"/>
      <c r="D6" s="9"/>
      <c r="E6" s="9"/>
      <c r="F6" s="9"/>
      <c r="G6" s="9"/>
    </row>
    <row r="7" spans="1:7" x14ac:dyDescent="0.3">
      <c r="A7" s="13" t="s">
        <v>8</v>
      </c>
      <c r="B7" s="9" t="s">
        <v>9</v>
      </c>
      <c r="C7" s="9"/>
      <c r="D7" s="9"/>
      <c r="E7" s="9"/>
      <c r="F7" s="9"/>
      <c r="G7" s="9"/>
    </row>
    <row r="9" spans="1:7" x14ac:dyDescent="0.3">
      <c r="A9" s="15" t="s">
        <v>10</v>
      </c>
      <c r="B9" s="16" t="s">
        <v>11</v>
      </c>
    </row>
    <row r="11" spans="1:7" x14ac:dyDescent="0.3">
      <c r="A11" s="17" t="s">
        <v>12</v>
      </c>
      <c r="B11" s="18"/>
      <c r="C11" s="18"/>
      <c r="D11" s="18"/>
      <c r="E11" s="18"/>
      <c r="F11" s="18"/>
      <c r="G11" s="18"/>
    </row>
    <row r="12" spans="1:7" ht="30" customHeight="1" x14ac:dyDescent="0.3">
      <c r="A12" s="19" t="s">
        <v>13</v>
      </c>
      <c r="B12" s="20" t="s">
        <v>14</v>
      </c>
      <c r="C12" s="20" t="s">
        <v>15</v>
      </c>
      <c r="D12" s="20" t="s">
        <v>11</v>
      </c>
      <c r="E12" s="20" t="s">
        <v>16</v>
      </c>
      <c r="F12" s="20" t="s">
        <v>17</v>
      </c>
      <c r="G12" s="20" t="s">
        <v>18</v>
      </c>
    </row>
    <row r="13" spans="1:7" x14ac:dyDescent="0.3">
      <c r="A13" s="21" t="s">
        <v>19</v>
      </c>
      <c r="B13" s="22">
        <f>'Financial Inputs'!$C$6</f>
        <v>139078.26999999999</v>
      </c>
      <c r="C13" s="22">
        <f>'Financial Inputs'!$D$6</f>
        <v>159210.82</v>
      </c>
      <c r="D13" s="22">
        <f>'Financial Inputs'!$E$6</f>
        <v>197792.78</v>
      </c>
      <c r="E13" s="23">
        <f t="shared" ref="E13:E26" si="0">INDEX(B13:D13,MATCH($B$9,$B$12:$D$12,0))</f>
        <v>197792.78</v>
      </c>
      <c r="F13" s="24" t="s">
        <v>20</v>
      </c>
      <c r="G13" s="24" t="str">
        <f t="shared" ref="G13:G26" si="1">IF(AND(ISNUMBER(C13),ISNUMBER(D13)),IF(D13=C13,"No change",IF((D13&gt;C13)=(F13="Higher"),"Favourable","Watch")),"n/a")</f>
        <v>Favourable</v>
      </c>
    </row>
    <row r="14" spans="1:7" x14ac:dyDescent="0.3">
      <c r="A14" s="21" t="s">
        <v>21</v>
      </c>
      <c r="B14" s="25" t="str">
        <f>'Financial Ratios'!C6</f>
        <v>n/a</v>
      </c>
      <c r="C14" s="25">
        <f>'Financial Ratios'!D6</f>
        <v>0.14475697749188288</v>
      </c>
      <c r="D14" s="25">
        <f>'Financial Ratios'!E6</f>
        <v>0.24233252488744172</v>
      </c>
      <c r="E14" s="26">
        <f t="shared" si="0"/>
        <v>0.24233252488744172</v>
      </c>
      <c r="F14" s="24" t="s">
        <v>20</v>
      </c>
      <c r="G14" s="24" t="str">
        <f t="shared" si="1"/>
        <v>Favourable</v>
      </c>
    </row>
    <row r="15" spans="1:7" x14ac:dyDescent="0.3">
      <c r="A15" s="21" t="s">
        <v>22</v>
      </c>
      <c r="B15" s="25">
        <f>'Financial Ratios'!C7</f>
        <v>0.11488343937554013</v>
      </c>
      <c r="C15" s="25">
        <f>'Financial Ratios'!D7</f>
        <v>0.11983871447932998</v>
      </c>
      <c r="D15" s="25">
        <f>'Financial Ratios'!E7</f>
        <v>0.12732901575072658</v>
      </c>
      <c r="E15" s="26">
        <f t="shared" si="0"/>
        <v>0.12732901575072658</v>
      </c>
      <c r="F15" s="24" t="s">
        <v>20</v>
      </c>
      <c r="G15" s="24" t="str">
        <f t="shared" si="1"/>
        <v>Favourable</v>
      </c>
    </row>
    <row r="16" spans="1:7" x14ac:dyDescent="0.3">
      <c r="A16" s="21" t="s">
        <v>23</v>
      </c>
      <c r="B16" s="25">
        <f>'Financial Ratios'!C8</f>
        <v>8.8222408863728327E-2</v>
      </c>
      <c r="C16" s="25">
        <f>'Financial Ratios'!D8</f>
        <v>8.8393301410042355E-2</v>
      </c>
      <c r="D16" s="25">
        <f>'Financial Ratios'!E8</f>
        <v>9.4147572019565112E-2</v>
      </c>
      <c r="E16" s="26">
        <f t="shared" si="0"/>
        <v>9.4147572019565112E-2</v>
      </c>
      <c r="F16" s="24" t="s">
        <v>20</v>
      </c>
      <c r="G16" s="24" t="str">
        <f t="shared" si="1"/>
        <v>Favourable</v>
      </c>
    </row>
    <row r="17" spans="1:7" x14ac:dyDescent="0.3">
      <c r="A17" s="21" t="s">
        <v>24</v>
      </c>
      <c r="B17" s="22">
        <f>'Financial Inputs'!$C$22</f>
        <v>103203.23</v>
      </c>
      <c r="C17" s="22">
        <f>'Financial Inputs'!$D$22</f>
        <v>121172.95</v>
      </c>
      <c r="D17" s="22">
        <f>'Financial Inputs'!$E$22</f>
        <v>129614.5</v>
      </c>
      <c r="E17" s="23">
        <f t="shared" si="0"/>
        <v>129614.5</v>
      </c>
      <c r="F17" s="24" t="s">
        <v>25</v>
      </c>
      <c r="G17" s="24" t="str">
        <f t="shared" si="1"/>
        <v>Watch</v>
      </c>
    </row>
    <row r="18" spans="1:7" x14ac:dyDescent="0.3">
      <c r="A18" s="21" t="s">
        <v>26</v>
      </c>
      <c r="B18" s="22">
        <f>'Financial Inputs'!$C$21</f>
        <v>35483.54</v>
      </c>
      <c r="C18" s="22">
        <f>'Financial Inputs'!$D$21</f>
        <v>41465.760000000002</v>
      </c>
      <c r="D18" s="22">
        <f>'Financial Inputs'!$E$21</f>
        <v>56144.57</v>
      </c>
      <c r="E18" s="23">
        <f t="shared" si="0"/>
        <v>56144.57</v>
      </c>
      <c r="F18" s="24" t="s">
        <v>25</v>
      </c>
      <c r="G18" s="24" t="str">
        <f t="shared" si="1"/>
        <v>Watch</v>
      </c>
    </row>
    <row r="19" spans="1:7" x14ac:dyDescent="0.3">
      <c r="A19" s="21" t="s">
        <v>27</v>
      </c>
      <c r="B19" s="25">
        <f>'Financial Ratios'!C14</f>
        <v>0.43674528639839577</v>
      </c>
      <c r="C19" s="25">
        <f>'Financial Ratios'!D14</f>
        <v>0.43652357157290234</v>
      </c>
      <c r="D19" s="25">
        <f>'Financial Ratios'!E14</f>
        <v>0.40806160184544105</v>
      </c>
      <c r="E19" s="26">
        <f t="shared" si="0"/>
        <v>0.40806160184544105</v>
      </c>
      <c r="F19" s="24" t="s">
        <v>25</v>
      </c>
      <c r="G19" s="24" t="str">
        <f t="shared" si="1"/>
        <v>Favourable</v>
      </c>
    </row>
    <row r="20" spans="1:7" x14ac:dyDescent="0.3">
      <c r="A20" s="21" t="s">
        <v>28</v>
      </c>
      <c r="B20" s="25" t="str">
        <f>'Financial Ratios'!C11</f>
        <v>n/a</v>
      </c>
      <c r="C20" s="25">
        <f>'Financial Ratios'!D11</f>
        <v>0.17411974412041165</v>
      </c>
      <c r="D20" s="25">
        <f>'Financial Ratios'!E11</f>
        <v>6.9665300712741685E-2</v>
      </c>
      <c r="E20" s="26">
        <f t="shared" si="0"/>
        <v>6.9665300712741685E-2</v>
      </c>
      <c r="F20" s="24" t="s">
        <v>25</v>
      </c>
      <c r="G20" s="24" t="str">
        <f t="shared" si="1"/>
        <v>Favourable</v>
      </c>
    </row>
    <row r="21" spans="1:7" x14ac:dyDescent="0.3">
      <c r="A21" s="21" t="s">
        <v>29</v>
      </c>
      <c r="B21" s="25">
        <f>'Financial Ratios'!C17</f>
        <v>0.28813090443002609</v>
      </c>
      <c r="C21" s="25">
        <f>'Financial Ratios'!D17</f>
        <v>0.17012740879874594</v>
      </c>
      <c r="D21" s="25">
        <f>'Financial Ratios'!E17</f>
        <v>0.2467206986872611</v>
      </c>
      <c r="E21" s="26">
        <f t="shared" si="0"/>
        <v>0.2467206986872611</v>
      </c>
      <c r="F21" s="24" t="s">
        <v>20</v>
      </c>
      <c r="G21" s="24" t="str">
        <f t="shared" si="1"/>
        <v>Favourable</v>
      </c>
    </row>
    <row r="22" spans="1:7" x14ac:dyDescent="0.3">
      <c r="A22" s="21" t="s">
        <v>30</v>
      </c>
      <c r="B22" s="22">
        <f>'Financial Inputs'!$C$29</f>
        <v>-5629.95</v>
      </c>
      <c r="C22" s="22">
        <f>'Financial Inputs'!$D$29</f>
        <v>-290.8</v>
      </c>
      <c r="D22" s="22">
        <f>'Financial Inputs'!$E$29</f>
        <v>11657.36</v>
      </c>
      <c r="E22" s="23">
        <f t="shared" si="0"/>
        <v>11657.36</v>
      </c>
      <c r="F22" s="24" t="s">
        <v>20</v>
      </c>
      <c r="G22" s="24" t="str">
        <f t="shared" si="1"/>
        <v>Favourable</v>
      </c>
    </row>
    <row r="23" spans="1:7" x14ac:dyDescent="0.3">
      <c r="A23" s="21" t="s">
        <v>31</v>
      </c>
      <c r="B23" s="25">
        <f>'Financial Ratios'!C19</f>
        <v>-5.4552071674500886E-2</v>
      </c>
      <c r="C23" s="25">
        <f>'Financial Ratios'!D19</f>
        <v>-2.3998755497823569E-3</v>
      </c>
      <c r="D23" s="25">
        <f>'Financial Ratios'!E19</f>
        <v>8.9938702845746427E-2</v>
      </c>
      <c r="E23" s="26">
        <f t="shared" si="0"/>
        <v>8.9938702845746427E-2</v>
      </c>
      <c r="F23" s="24" t="s">
        <v>20</v>
      </c>
      <c r="G23" s="24" t="str">
        <f t="shared" si="1"/>
        <v>Favourable</v>
      </c>
    </row>
    <row r="24" spans="1:7" x14ac:dyDescent="0.3">
      <c r="A24" s="21" t="s">
        <v>32</v>
      </c>
      <c r="B24" s="25">
        <f>'Financial Ratios'!C9</f>
        <v>5.3841696477817856E-2</v>
      </c>
      <c r="C24" s="25">
        <f>'Financial Ratios'!D9</f>
        <v>5.7052592279846298E-2</v>
      </c>
      <c r="D24" s="25">
        <f>'Financial Ratios'!E9</f>
        <v>4.8489383687311538E-2</v>
      </c>
      <c r="E24" s="26">
        <f t="shared" si="0"/>
        <v>4.8489383687311538E-2</v>
      </c>
      <c r="F24" s="24" t="s">
        <v>25</v>
      </c>
      <c r="G24" s="24" t="str">
        <f t="shared" si="1"/>
        <v>Favourable</v>
      </c>
    </row>
    <row r="25" spans="1:7" x14ac:dyDescent="0.3">
      <c r="A25" s="21" t="s">
        <v>33</v>
      </c>
      <c r="B25" s="25">
        <f>'Fin Services Asset Quality'!B19</f>
        <v>3.870220847882571E-2</v>
      </c>
      <c r="C25" s="25">
        <f>'Fin Services Asset Quality'!C19</f>
        <v>4.0673704967312756E-2</v>
      </c>
      <c r="D25" s="25">
        <f>'Fin Services Asset Quality'!D19</f>
        <v>3.4154674132649249E-2</v>
      </c>
      <c r="E25" s="26">
        <f t="shared" si="0"/>
        <v>3.4154674132649249E-2</v>
      </c>
      <c r="F25" s="24" t="s">
        <v>25</v>
      </c>
      <c r="G25" s="24" t="str">
        <f t="shared" si="1"/>
        <v>Favourable</v>
      </c>
    </row>
    <row r="26" spans="1:7" x14ac:dyDescent="0.3">
      <c r="A26" s="21" t="s">
        <v>34</v>
      </c>
      <c r="B26" s="25">
        <f>'Fin Services Asset Quality'!B20</f>
        <v>1.6803746496501626E-2</v>
      </c>
      <c r="C26" s="25">
        <f>'Fin Services Asset Quality'!C20</f>
        <v>1.8695137971105443E-2</v>
      </c>
      <c r="D26" s="25">
        <f>'Fin Services Asset Quality'!D20</f>
        <v>1.443739609803203E-2</v>
      </c>
      <c r="E26" s="26">
        <f t="shared" si="0"/>
        <v>1.443739609803203E-2</v>
      </c>
      <c r="F26" s="24" t="s">
        <v>25</v>
      </c>
      <c r="G26" s="24" t="str">
        <f t="shared" si="1"/>
        <v>Favourable</v>
      </c>
    </row>
    <row r="27" spans="1:7" ht="27.75" customHeight="1" x14ac:dyDescent="0.3">
      <c r="A27" s="8" t="s">
        <v>35</v>
      </c>
      <c r="B27" s="8"/>
      <c r="C27" s="8"/>
      <c r="D27" s="8"/>
      <c r="E27" s="8"/>
      <c r="F27" s="8"/>
      <c r="G27" s="8"/>
    </row>
    <row r="29" spans="1:7" x14ac:dyDescent="0.3">
      <c r="A29" s="17" t="s">
        <v>36</v>
      </c>
      <c r="B29" s="18"/>
      <c r="C29" s="18"/>
      <c r="D29" s="18"/>
      <c r="E29" s="18"/>
      <c r="F29" s="18"/>
      <c r="G29" s="18"/>
    </row>
    <row r="30" spans="1:7" ht="30" customHeight="1" x14ac:dyDescent="0.3">
      <c r="A30" s="7" t="str">
        <f>"Revenue from operations rose from ₹"&amp;TEXT('Financial Inputs'!$C$6,"#,##0.00")&amp;" crore (FY2024) to ₹"&amp;TEXT('Financial Inputs'!$E$6,"#,##0.00")&amp;" crore (FY2026), +"&amp;TEXT('Financial Inputs'!$E$6/'Financial Inputs'!$C$6-1,"0.0%")&amp;" cumulatively."</f>
        <v>Revenue from operations rose from ₹1,39,078.27 crore (FY2024) to ₹1,97,792.78 crore (FY2026), +42.2% cumulatively.</v>
      </c>
      <c r="B30" s="7"/>
      <c r="C30" s="7"/>
      <c r="D30" s="7"/>
      <c r="E30" s="7"/>
      <c r="F30" s="7"/>
      <c r="G30" s="7"/>
    </row>
    <row r="31" spans="1:7" ht="30" customHeight="1" x14ac:dyDescent="0.3">
      <c r="A31" s="7" t="str">
        <f>"PBT margin improved from "&amp;TEXT('Financial Ratios'!C7,"0.00%")&amp;" (FY2024) to "&amp;TEXT('Financial Ratios'!E7,"0.00%")&amp;" (FY2026); consolidated profit margin from "&amp;TEXT('Financial Ratios'!C8,"0.00%")&amp;" to "&amp;TEXT('Financial Ratios'!E8,"0.00%")&amp;"."</f>
        <v>PBT margin improved from 11.49% (FY2024) to 12.73% (FY2026); consolidated profit margin from 8.82% to 9.41%.</v>
      </c>
      <c r="B31" s="7"/>
      <c r="C31" s="7"/>
      <c r="D31" s="7"/>
      <c r="E31" s="7"/>
      <c r="F31" s="7"/>
      <c r="G31" s="7"/>
    </row>
    <row r="32" spans="1:7" ht="30" customHeight="1" x14ac:dyDescent="0.3">
      <c r="A32" s="7" t="str">
        <f>"Borrowings grew more slowly in FY2026 ("&amp;TEXT('Financial Ratios'!E11,"0.0%")&amp;") than in FY2025 ("&amp;TEXT('Financial Ratios'!D11,"0.0%")&amp;"); finance costs / revenue eased to "&amp;TEXT('Financial Ratios'!E9,"0.00%")&amp;"."</f>
        <v>Borrowings grew more slowly in FY2026 (7.0%) than in FY2025 (17.4%); finance costs / revenue eased to 4.85%.</v>
      </c>
      <c r="B32" s="7"/>
      <c r="C32" s="7"/>
      <c r="D32" s="7"/>
      <c r="E32" s="7"/>
      <c r="F32" s="7"/>
      <c r="G32" s="7"/>
    </row>
    <row r="33" spans="1:7" ht="30" customHeight="1" x14ac:dyDescent="0.3">
      <c r="A33" s="7" t="str">
        <f>"Operating cash flow improved to "&amp;IF('Financial Inputs'!$E$29&lt;0,"-","")&amp;"₹"&amp;TEXT(ABS('Financial Inputs'!$E$29),"#,##0.00")&amp;" crore in FY2026 from "&amp;IF('Financial Inputs'!$D$29&lt;0,"-","")&amp;"₹"&amp;TEXT(ABS('Financial Inputs'!$D$29),"#,##0.00")&amp;" crore in FY2025 and "&amp;IF('Financial Inputs'!$C$29&lt;0,"-","")&amp;"₹"&amp;TEXT(ABS('Financial Inputs'!$C$29),"#,##0.00")&amp;" crore in FY2024."</f>
        <v>Operating cash flow improved to ₹11,657.36 crore in FY2026 from -₹290.80 crore in FY2025 and -₹5,629.95 crore in FY2024.</v>
      </c>
      <c r="B33" s="7"/>
      <c r="C33" s="7"/>
      <c r="D33" s="7"/>
      <c r="E33" s="7"/>
      <c r="F33" s="7"/>
      <c r="G33" s="7"/>
    </row>
    <row r="34" spans="1:7" ht="30" customHeight="1" x14ac:dyDescent="0.3">
      <c r="A34" s="7" t="str">
        <f>"Financial Services Stage 3 ratios improved in FY2026: gross "&amp;TEXT('Fin Services Asset Quality'!D19,"0.00%")&amp;" (FY2025 "&amp;TEXT('Fin Services Asset Quality'!C19,"0.00%")&amp;"); net "&amp;TEXT('Fin Services Asset Quality'!D20,"0.00%")&amp;" (FY2025 "&amp;TEXT('Fin Services Asset Quality'!C20,"0.00%")&amp;"); Stage 3 coverage "&amp;TEXT('Fin Services Asset Quality'!D31,"0.0%")&amp;"."</f>
        <v>Financial Services Stage 3 ratios improved in FY2026: gross 3.42% (FY2025 4.07%); net 1.44% (FY2025 1.87%); Stage 3 coverage 59.0%.</v>
      </c>
      <c r="B34" s="7"/>
      <c r="C34" s="7"/>
      <c r="D34" s="7"/>
      <c r="E34" s="7"/>
      <c r="F34" s="7"/>
      <c r="G34" s="7"/>
    </row>
    <row r="35" spans="1:7" ht="30" customHeight="1" x14ac:dyDescent="0.3">
      <c r="A35" s="7" t="s">
        <v>37</v>
      </c>
      <c r="B35" s="7"/>
      <c r="C35" s="7"/>
      <c r="D35" s="7"/>
      <c r="E35" s="7"/>
      <c r="F35" s="7"/>
      <c r="G35" s="7"/>
    </row>
    <row r="36" spans="1:7" ht="30" customHeight="1" x14ac:dyDescent="0.3">
      <c r="A36" s="7" t="str">
        <f>"All four segments reported higher segment results in FY2026 (total ₹"&amp;TEXT('Segment Analysis'!D21,"#,##0.00")&amp;" crore vs ₹"&amp;TEXT('Segment Analysis'!C21,"#,##0.00")&amp;" crore), giving diversified earnings."</f>
        <v>All four segments reported higher segment results in FY2026 (total ₹23,383.54 crore vs ₹18,463.59 crore), giving diversified earnings.</v>
      </c>
      <c r="B36" s="7"/>
      <c r="C36" s="7"/>
      <c r="D36" s="7"/>
      <c r="E36" s="7"/>
      <c r="F36" s="7"/>
      <c r="G36" s="7"/>
    </row>
    <row r="38" spans="1:7" x14ac:dyDescent="0.3">
      <c r="A38" s="17" t="s">
        <v>38</v>
      </c>
      <c r="B38" s="18"/>
      <c r="C38" s="18"/>
      <c r="D38" s="18"/>
      <c r="E38" s="18"/>
      <c r="F38" s="18"/>
      <c r="G38" s="18"/>
    </row>
    <row r="39" spans="1:7" ht="30" customHeight="1" x14ac:dyDescent="0.3">
      <c r="A39" s="6" t="str">
        <f>"Borrowings excluding leases reached ₹"&amp;TEXT('Financial Inputs'!$E$22,"#,##0.00")&amp;" crore ("&amp;TEXT('Financial Ratios'!E14,"0.0%")&amp;" of total assets). Read with the captive Financial Services book – Financial Services is "&amp;TEXT('Segment Analysis'!D109,"0.0%")&amp;" of FY2026 segment assets."</f>
        <v>Borrowings excluding leases reached ₹1,29,614.50 crore (40.8% of total assets). Read with the captive Financial Services book – Financial Services is 57.5% of FY2026 segment assets.</v>
      </c>
      <c r="B39" s="6"/>
      <c r="C39" s="6"/>
      <c r="D39" s="6"/>
      <c r="E39" s="6"/>
      <c r="F39" s="6"/>
      <c r="G39" s="6"/>
    </row>
    <row r="40" spans="1:7" ht="30" customHeight="1" x14ac:dyDescent="0.3">
      <c r="A40" s="6" t="str">
        <f>"Current borrowings reached ₹"&amp;TEXT('Financial Inputs'!$E$21,"#,##0.00")&amp;" crore ("&amp;TEXT('Financial Ratios'!E15,"0.0%")&amp;" of borrowings; short-term ₹"&amp;TEXT('Financial Inputs'!$E$27,"#,##0.00")&amp;" crore plus current maturities ₹"&amp;TEXT('Financial Inputs'!$E$28,"#,##0.00")&amp;" crore). Gross cash + bank balances cover "&amp;TEXT('Debt Maturity &amp; Liquidity'!D66,"0.00")&amp;"x of borrowings principal due within 1 year."</f>
        <v>Current borrowings reached ₹56,144.57 crore (43.3% of borrowings; short-term ₹18,949.89 crore plus current maturities ₹37,194.68 crore). Gross cash + bank balances cover 0.57x of borrowings principal due within 1 year.</v>
      </c>
      <c r="B40" s="6"/>
      <c r="C40" s="6"/>
      <c r="D40" s="6"/>
      <c r="E40" s="6"/>
      <c r="F40" s="6"/>
      <c r="G40" s="6"/>
    </row>
    <row r="41" spans="1:7" ht="30" customHeight="1" x14ac:dyDescent="0.3">
      <c r="A41" s="6" t="str">
        <f>"Investing cash outflows remained substantial (₹"&amp;TEXT(-'Financial Inputs'!$E$30,"#,##0.00")&amp;" crore in FY2026). CFO + investing (simplified proxy, NOT free cash flow) was "&amp;IF('Financial Ratios'!E21&lt;0,"-","")&amp;"₹"&amp;TEXT(ABS('Financial Ratios'!E21),"#,##0.00")&amp;" crore."</f>
        <v>Investing cash outflows remained substantial (₹17,707.39 crore in FY2026). CFO + investing (simplified proxy, NOT free cash flow) was -₹6,050.03 crore.</v>
      </c>
      <c r="B41" s="6"/>
      <c r="C41" s="6"/>
      <c r="D41" s="6"/>
      <c r="E41" s="6"/>
      <c r="F41" s="6"/>
      <c r="G41" s="6"/>
    </row>
    <row r="42" spans="1:7" ht="30" customHeight="1" x14ac:dyDescent="0.3">
      <c r="A42" s="6" t="s">
        <v>39</v>
      </c>
      <c r="B42" s="6"/>
      <c r="C42" s="6"/>
      <c r="D42" s="6"/>
      <c r="E42" s="6"/>
      <c r="F42" s="6"/>
      <c r="G42" s="6"/>
    </row>
    <row r="43" spans="1:7" ht="30" customHeight="1" x14ac:dyDescent="0.3">
      <c r="A43" s="6" t="str">
        <f>"Other bank balances (₹"&amp;TEXT('Financial Inputs'!$E$24,"#,##0.00")&amp;" crore) may not all be freely available; the cash + bank ratio ("&amp;TEXT('Financial Ratios'!E17,"0.0%")&amp;") is a gross indicator."</f>
        <v>Other bank balances (₹27,686.34 crore) may not all be freely available; the cash + bank ratio (24.7%) is a gross indicator.</v>
      </c>
      <c r="B43" s="6"/>
      <c r="C43" s="6"/>
      <c r="D43" s="6"/>
      <c r="E43" s="6"/>
      <c r="F43" s="6"/>
      <c r="G43" s="6"/>
    </row>
    <row r="44" spans="1:7" ht="30" customHeight="1" x14ac:dyDescent="0.3">
      <c r="A44" s="6" t="str">
        <f>"Financial Services loan growth ("&amp;TEXT('Fin Services Asset Quality'!D24,"0.0%")&amp;" gross in FY2026) and ECL coverage require monitoring; Stage 2 + Stage 3 share is "&amp;TEXT('Fin Services Asset Quality'!D23,"0.0%")&amp;"; Stage 2 ECL rate "&amp;TEXT('Fin Services Asset Quality'!D16,"0.0%")&amp;"."</f>
        <v>Financial Services loan growth (12.7% gross in FY2026) and ECL coverage require monitoring; Stage 2 + Stage 3 share is 8.2%; Stage 2 ECL rate 8.0%.</v>
      </c>
      <c r="B44" s="6"/>
      <c r="C44" s="6"/>
      <c r="D44" s="6"/>
      <c r="E44" s="6"/>
      <c r="F44" s="6"/>
      <c r="G44" s="6"/>
    </row>
    <row r="45" spans="1:7" ht="30" customHeight="1" x14ac:dyDescent="0.3">
      <c r="A45" s="6" t="s">
        <v>40</v>
      </c>
      <c r="B45" s="6"/>
      <c r="C45" s="6"/>
      <c r="D45" s="6"/>
      <c r="E45" s="6"/>
      <c r="F45" s="6"/>
      <c r="G45" s="6"/>
    </row>
    <row r="46" spans="1:7" ht="30" customHeight="1" x14ac:dyDescent="0.3">
      <c r="A46" s="6" t="s">
        <v>41</v>
      </c>
      <c r="B46" s="6"/>
      <c r="C46" s="6"/>
      <c r="D46" s="6"/>
      <c r="E46" s="6"/>
      <c r="F46" s="6"/>
      <c r="G46" s="6"/>
    </row>
    <row r="48" spans="1:7" x14ac:dyDescent="0.3">
      <c r="A48" s="17" t="s">
        <v>42</v>
      </c>
      <c r="B48" s="18"/>
      <c r="C48" s="18"/>
      <c r="D48" s="18"/>
      <c r="E48" s="18"/>
      <c r="F48" s="18"/>
      <c r="G48" s="18"/>
    </row>
    <row r="49" spans="1:7" ht="30" customHeight="1" x14ac:dyDescent="0.3">
      <c r="A49" s="19" t="s">
        <v>43</v>
      </c>
      <c r="B49" s="20" t="s">
        <v>44</v>
      </c>
      <c r="C49" s="20"/>
      <c r="D49" s="20" t="s">
        <v>45</v>
      </c>
      <c r="E49" s="20"/>
      <c r="F49" s="20"/>
      <c r="G49" s="20"/>
    </row>
    <row r="50" spans="1:7" ht="39.75" customHeight="1" x14ac:dyDescent="0.3">
      <c r="A50" s="27" t="s">
        <v>46</v>
      </c>
      <c r="B50" s="5" t="s">
        <v>47</v>
      </c>
      <c r="C50" s="5"/>
      <c r="D50" s="4" t="s">
        <v>48</v>
      </c>
      <c r="E50" s="4"/>
      <c r="F50" s="4"/>
      <c r="G50" s="4"/>
    </row>
    <row r="51" spans="1:7" ht="39.75" customHeight="1" x14ac:dyDescent="0.3">
      <c r="A51" s="27" t="s">
        <v>49</v>
      </c>
      <c r="B51" s="5" t="s">
        <v>50</v>
      </c>
      <c r="C51" s="5"/>
      <c r="D51" s="4" t="s">
        <v>51</v>
      </c>
      <c r="E51" s="4"/>
      <c r="F51" s="4"/>
      <c r="G51" s="4"/>
    </row>
    <row r="52" spans="1:7" ht="39.75" customHeight="1" x14ac:dyDescent="0.3">
      <c r="A52" s="27" t="s">
        <v>52</v>
      </c>
      <c r="B52" s="5" t="s">
        <v>53</v>
      </c>
      <c r="C52" s="5"/>
      <c r="D52" s="4" t="s">
        <v>54</v>
      </c>
      <c r="E52" s="4"/>
      <c r="F52" s="4"/>
      <c r="G52" s="4"/>
    </row>
    <row r="53" spans="1:7" ht="39.75" customHeight="1" x14ac:dyDescent="0.3">
      <c r="A53" s="27" t="s">
        <v>55</v>
      </c>
      <c r="B53" s="5" t="s">
        <v>56</v>
      </c>
      <c r="C53" s="5"/>
      <c r="D53" s="4" t="s">
        <v>57</v>
      </c>
      <c r="E53" s="4"/>
      <c r="F53" s="4"/>
      <c r="G53" s="4"/>
    </row>
    <row r="54" spans="1:7" ht="39.75" customHeight="1" x14ac:dyDescent="0.3">
      <c r="A54" s="27" t="s">
        <v>58</v>
      </c>
      <c r="B54" s="5" t="s">
        <v>59</v>
      </c>
      <c r="C54" s="5"/>
      <c r="D54" s="4" t="s">
        <v>60</v>
      </c>
      <c r="E54" s="4"/>
      <c r="F54" s="4"/>
      <c r="G54" s="4"/>
    </row>
    <row r="55" spans="1:7" ht="39.75" customHeight="1" x14ac:dyDescent="0.3">
      <c r="A55" s="27" t="s">
        <v>61</v>
      </c>
      <c r="B55" s="5" t="s">
        <v>62</v>
      </c>
      <c r="C55" s="5"/>
      <c r="D55" s="4" t="s">
        <v>63</v>
      </c>
      <c r="E55" s="4"/>
      <c r="F55" s="4"/>
      <c r="G55" s="4"/>
    </row>
    <row r="56" spans="1:7" ht="30" customHeight="1" x14ac:dyDescent="0.3">
      <c r="A56" s="3" t="s">
        <v>64</v>
      </c>
      <c r="B56" s="3"/>
      <c r="C56" s="3"/>
      <c r="D56" s="3"/>
      <c r="E56" s="3"/>
      <c r="F56" s="3"/>
      <c r="G56" s="3"/>
    </row>
    <row r="58" spans="1:7" x14ac:dyDescent="0.3">
      <c r="A58" s="17" t="s">
        <v>65</v>
      </c>
      <c r="B58" s="18"/>
      <c r="C58" s="18"/>
      <c r="D58" s="18"/>
      <c r="E58" s="18"/>
      <c r="F58" s="18"/>
      <c r="G58" s="18"/>
    </row>
    <row r="59" spans="1:7" ht="30" customHeight="1" x14ac:dyDescent="0.3">
      <c r="A59" s="2" t="str">
        <f>"Verification log: "&amp;'Source Register &amp; Verif. Log'!G59&amp;" check(s) flagged. All flagged figures are retained as supplied – none adjusted."</f>
        <v>Verification log: 6 check(s) flagged. All flagged figures are retained as supplied – none adjusted.</v>
      </c>
      <c r="B59" s="2"/>
      <c r="C59" s="2"/>
      <c r="D59" s="2"/>
      <c r="E59" s="2"/>
      <c r="F59" s="2"/>
      <c r="G59" s="2"/>
    </row>
    <row r="60" spans="1:7" ht="30" customHeight="1" x14ac:dyDescent="0.3">
      <c r="A60" s="2" t="str">
        <f>"FY2026 borrowings-principal maturity buckets exceed balance-sheet borrowings by ₹"&amp;TEXT('Debt Maturity &amp; Liquidity'!D46,"#,##0.00")&amp;" crore (mandatory flag; also differences in FY2025/FY2024)."</f>
        <v>FY2026 borrowings-principal maturity buckets exceed balance-sheet borrowings by ₹85.04 crore (mandatory flag; also differences in FY2025/FY2024).</v>
      </c>
      <c r="B60" s="2"/>
      <c r="C60" s="2"/>
      <c r="D60" s="2"/>
      <c r="E60" s="2"/>
      <c r="F60" s="2"/>
      <c r="G60" s="2"/>
    </row>
    <row r="61" spans="1:7" ht="30" customHeight="1" x14ac:dyDescent="0.3">
      <c r="A61" s="2" t="str">
        <f>"FY2026 revenue definitions differ: segment external revenue exceeds revenue from operations by ₹"&amp;TEXT('Segment Analysis'!D118,"#,##0.00")&amp;" crore; reported total income also exceeds revenue + other income by the same amount."</f>
        <v>FY2026 revenue definitions differ: segment external revenue exceeds revenue from operations by ₹845.77 crore; reported total income also exceeds revenue + other income by the same amount.</v>
      </c>
      <c r="B61" s="2"/>
      <c r="C61" s="2"/>
      <c r="D61" s="2"/>
      <c r="E61" s="2"/>
      <c r="F61" s="2"/>
      <c r="G61" s="2"/>
    </row>
    <row r="62" spans="1:7" ht="30" customHeight="1" x14ac:dyDescent="0.3">
      <c r="A62" s="2" t="str">
        <f>"FY2024 cash flow: operating + investing + financing = ₹"&amp;TEXT('Financial Inputs'!$C$29+'Financial Inputs'!$C$30+'Financial Inputs'!$C$31,"#,##0.00")&amp;" crore vs reported net change ₹"&amp;TEXT('Financial Inputs'!$C$32,"#,##0.00")&amp;" crore – verify FY2024 inputs against source."</f>
        <v>FY2024 cash flow: operating + investing + financing = ₹1,053.69 crore vs reported net change ₹3,493.41 crore – verify FY2024 inputs against source.</v>
      </c>
      <c r="B62" s="2"/>
      <c r="C62" s="2"/>
      <c r="D62" s="2"/>
      <c r="E62" s="2"/>
      <c r="F62" s="2"/>
      <c r="G62" s="2"/>
    </row>
    <row r="64" spans="1:7" x14ac:dyDescent="0.3">
      <c r="A64" s="17" t="s">
        <v>66</v>
      </c>
      <c r="B64" s="18"/>
      <c r="C64" s="18"/>
      <c r="D64" s="18"/>
      <c r="E64" s="18"/>
      <c r="F64" s="18"/>
      <c r="G64" s="18"/>
    </row>
    <row r="116" spans="1:7" ht="19.5" customHeight="1" x14ac:dyDescent="0.3">
      <c r="A116" s="8" t="s">
        <v>67</v>
      </c>
      <c r="B116" s="8"/>
      <c r="C116" s="8"/>
      <c r="D116" s="8"/>
      <c r="E116" s="8"/>
      <c r="F116" s="8"/>
      <c r="G116" s="8"/>
    </row>
  </sheetData>
  <mergeCells count="39">
    <mergeCell ref="A61:G61"/>
    <mergeCell ref="A62:G62"/>
    <mergeCell ref="A116:G116"/>
    <mergeCell ref="B55:C55"/>
    <mergeCell ref="D55:G55"/>
    <mergeCell ref="A56:G56"/>
    <mergeCell ref="A59:G59"/>
    <mergeCell ref="A60:G60"/>
    <mergeCell ref="B52:C52"/>
    <mergeCell ref="D52:G52"/>
    <mergeCell ref="B53:C53"/>
    <mergeCell ref="D53:G53"/>
    <mergeCell ref="B54:C54"/>
    <mergeCell ref="D54:G54"/>
    <mergeCell ref="A46:G46"/>
    <mergeCell ref="B50:C50"/>
    <mergeCell ref="D50:G50"/>
    <mergeCell ref="B51:C51"/>
    <mergeCell ref="D51:G51"/>
    <mergeCell ref="A41:G41"/>
    <mergeCell ref="A42:G42"/>
    <mergeCell ref="A43:G43"/>
    <mergeCell ref="A44:G44"/>
    <mergeCell ref="A45:G45"/>
    <mergeCell ref="A34:G34"/>
    <mergeCell ref="A35:G35"/>
    <mergeCell ref="A36:G36"/>
    <mergeCell ref="A39:G39"/>
    <mergeCell ref="A40:G40"/>
    <mergeCell ref="A27:G27"/>
    <mergeCell ref="A30:G30"/>
    <mergeCell ref="A31:G31"/>
    <mergeCell ref="A32:G32"/>
    <mergeCell ref="A33:G33"/>
    <mergeCell ref="A3:G3"/>
    <mergeCell ref="B4:G4"/>
    <mergeCell ref="B5:G5"/>
    <mergeCell ref="B6:G6"/>
    <mergeCell ref="B7:G7"/>
  </mergeCells>
  <conditionalFormatting sqref="G13:G26">
    <cfRule type="cellIs" dxfId="19" priority="2" operator="equal">
      <formula>"Favourable"</formula>
    </cfRule>
    <cfRule type="cellIs" dxfId="18" priority="3" operator="equal">
      <formula>"Watch"</formula>
    </cfRule>
  </conditionalFormatting>
  <dataValidations count="1">
    <dataValidation type="list" error="Choose FY2024, FY2025 or FY2026" sqref="B9" xr:uid="{00000000-0002-0000-0000-000000000000}">
      <formula1>"FY2024,FY2025,FY2026"</formula1>
      <formula2>0</formula2>
    </dataValidation>
  </dataValidations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  <rowBreaks count="1" manualBreakCount="1">
    <brk id="6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  <pageSetUpPr fitToPage="1"/>
  </sheetPr>
  <dimension ref="A1:G3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0" customWidth="1"/>
    <col min="2" max="2" width="58" customWidth="1"/>
    <col min="3" max="5" width="15" customWidth="1"/>
    <col min="6" max="6" width="10" customWidth="1"/>
    <col min="7" max="7" width="78" customWidth="1"/>
  </cols>
  <sheetData>
    <row r="1" spans="1:7" ht="21" x14ac:dyDescent="0.4">
      <c r="A1" s="11" t="s">
        <v>68</v>
      </c>
    </row>
    <row r="2" spans="1:7" x14ac:dyDescent="0.3">
      <c r="A2" s="12" t="s">
        <v>69</v>
      </c>
    </row>
    <row r="3" spans="1:7" x14ac:dyDescent="0.3">
      <c r="A3" s="29" t="s">
        <v>70</v>
      </c>
    </row>
    <row r="5" spans="1:7" ht="30" customHeight="1" x14ac:dyDescent="0.3">
      <c r="A5" s="19" t="s">
        <v>71</v>
      </c>
      <c r="B5" s="20" t="s">
        <v>72</v>
      </c>
      <c r="C5" s="20" t="s">
        <v>14</v>
      </c>
      <c r="D5" s="20" t="s">
        <v>15</v>
      </c>
      <c r="E5" s="20" t="s">
        <v>11</v>
      </c>
      <c r="F5" s="20" t="s">
        <v>73</v>
      </c>
      <c r="G5" s="20" t="s">
        <v>74</v>
      </c>
    </row>
    <row r="6" spans="1:7" x14ac:dyDescent="0.3">
      <c r="A6" s="21" t="s">
        <v>75</v>
      </c>
      <c r="B6" s="21" t="s">
        <v>76</v>
      </c>
      <c r="C6" s="30">
        <v>139078.26999999999</v>
      </c>
      <c r="D6" s="30">
        <v>159210.82</v>
      </c>
      <c r="E6" s="30">
        <v>197792.78</v>
      </c>
      <c r="F6" s="24" t="s">
        <v>77</v>
      </c>
      <c r="G6" s="28" t="s">
        <v>78</v>
      </c>
    </row>
    <row r="7" spans="1:7" x14ac:dyDescent="0.3">
      <c r="A7" s="21" t="s">
        <v>75</v>
      </c>
      <c r="B7" s="21" t="s">
        <v>79</v>
      </c>
      <c r="C7" s="30">
        <v>2176.42</v>
      </c>
      <c r="D7" s="30">
        <v>2181.0500000000002</v>
      </c>
      <c r="E7" s="30">
        <v>3445.79</v>
      </c>
      <c r="F7" s="24" t="s">
        <v>77</v>
      </c>
      <c r="G7" s="28" t="s">
        <v>80</v>
      </c>
    </row>
    <row r="8" spans="1:7" ht="22.8" x14ac:dyDescent="0.3">
      <c r="A8" s="21" t="s">
        <v>75</v>
      </c>
      <c r="B8" s="21" t="s">
        <v>81</v>
      </c>
      <c r="C8" s="30">
        <v>141254.69</v>
      </c>
      <c r="D8" s="30">
        <v>161391.87</v>
      </c>
      <c r="E8" s="30">
        <v>202084.34</v>
      </c>
      <c r="F8" s="24" t="s">
        <v>77</v>
      </c>
      <c r="G8" s="28" t="s">
        <v>82</v>
      </c>
    </row>
    <row r="9" spans="1:7" x14ac:dyDescent="0.3">
      <c r="A9" s="21" t="s">
        <v>75</v>
      </c>
      <c r="B9" s="21" t="s">
        <v>83</v>
      </c>
      <c r="C9" s="30">
        <v>7488.21</v>
      </c>
      <c r="D9" s="30">
        <v>9083.39</v>
      </c>
      <c r="E9" s="30">
        <v>9590.85</v>
      </c>
      <c r="F9" s="24" t="s">
        <v>77</v>
      </c>
      <c r="G9" s="28" t="s">
        <v>80</v>
      </c>
    </row>
    <row r="10" spans="1:7" x14ac:dyDescent="0.3">
      <c r="A10" s="21" t="s">
        <v>75</v>
      </c>
      <c r="B10" s="21" t="s">
        <v>84</v>
      </c>
      <c r="C10" s="30">
        <v>126398.33</v>
      </c>
      <c r="D10" s="30">
        <v>143849.67000000001</v>
      </c>
      <c r="E10" s="30">
        <v>178571.55</v>
      </c>
      <c r="F10" s="24" t="s">
        <v>77</v>
      </c>
      <c r="G10" s="28" t="s">
        <v>80</v>
      </c>
    </row>
    <row r="11" spans="1:7" x14ac:dyDescent="0.3">
      <c r="A11" s="21" t="s">
        <v>75</v>
      </c>
      <c r="B11" s="21" t="s">
        <v>85</v>
      </c>
      <c r="C11" s="31" t="s">
        <v>86</v>
      </c>
      <c r="D11" s="30">
        <v>0</v>
      </c>
      <c r="E11" s="30">
        <v>-292.94</v>
      </c>
      <c r="F11" s="24" t="s">
        <v>77</v>
      </c>
      <c r="G11" s="28" t="s">
        <v>87</v>
      </c>
    </row>
    <row r="12" spans="1:7" x14ac:dyDescent="0.3">
      <c r="A12" s="21" t="s">
        <v>75</v>
      </c>
      <c r="B12" s="21" t="s">
        <v>88</v>
      </c>
      <c r="C12" s="30">
        <v>14856.36</v>
      </c>
      <c r="D12" s="30">
        <v>17542.2</v>
      </c>
      <c r="E12" s="30">
        <v>23219.85</v>
      </c>
      <c r="F12" s="24" t="s">
        <v>77</v>
      </c>
      <c r="G12" s="28" t="s">
        <v>80</v>
      </c>
    </row>
    <row r="13" spans="1:7" ht="22.8" x14ac:dyDescent="0.3">
      <c r="A13" s="21" t="s">
        <v>75</v>
      </c>
      <c r="B13" s="21" t="s">
        <v>89</v>
      </c>
      <c r="C13" s="31" t="s">
        <v>86</v>
      </c>
      <c r="D13" s="32">
        <f>D12</f>
        <v>17542.2</v>
      </c>
      <c r="E13" s="30">
        <v>23512.79</v>
      </c>
      <c r="F13" s="24" t="s">
        <v>77</v>
      </c>
      <c r="G13" s="28" t="s">
        <v>90</v>
      </c>
    </row>
    <row r="14" spans="1:7" x14ac:dyDescent="0.3">
      <c r="A14" s="21" t="s">
        <v>75</v>
      </c>
      <c r="B14" s="21" t="s">
        <v>91</v>
      </c>
      <c r="C14" s="30">
        <v>1121.43</v>
      </c>
      <c r="D14" s="30">
        <v>1537.42</v>
      </c>
      <c r="E14" s="30">
        <v>1964.91</v>
      </c>
      <c r="F14" s="24" t="s">
        <v>77</v>
      </c>
      <c r="G14" s="28" t="s">
        <v>80</v>
      </c>
    </row>
    <row r="15" spans="1:7" x14ac:dyDescent="0.3">
      <c r="A15" s="21" t="s">
        <v>75</v>
      </c>
      <c r="B15" s="21" t="s">
        <v>92</v>
      </c>
      <c r="C15" s="30">
        <v>15977.79</v>
      </c>
      <c r="D15" s="30">
        <v>19079.62</v>
      </c>
      <c r="E15" s="30">
        <v>25184.76</v>
      </c>
      <c r="F15" s="24" t="s">
        <v>77</v>
      </c>
      <c r="G15" s="28" t="s">
        <v>80</v>
      </c>
    </row>
    <row r="16" spans="1:7" x14ac:dyDescent="0.3">
      <c r="A16" s="21" t="s">
        <v>75</v>
      </c>
      <c r="B16" s="21" t="s">
        <v>93</v>
      </c>
      <c r="C16" s="30">
        <v>12269.82</v>
      </c>
      <c r="D16" s="30">
        <v>14073.17</v>
      </c>
      <c r="E16" s="30">
        <v>18621.71</v>
      </c>
      <c r="F16" s="24" t="s">
        <v>77</v>
      </c>
      <c r="G16" s="28" t="s">
        <v>80</v>
      </c>
    </row>
    <row r="17" spans="1:7" x14ac:dyDescent="0.3">
      <c r="A17" s="21" t="s">
        <v>75</v>
      </c>
      <c r="B17" s="21" t="s">
        <v>94</v>
      </c>
      <c r="C17" s="30">
        <v>11268.64</v>
      </c>
      <c r="D17" s="30">
        <v>12929.1</v>
      </c>
      <c r="E17" s="30">
        <v>17098.849999999999</v>
      </c>
      <c r="F17" s="24" t="s">
        <v>77</v>
      </c>
      <c r="G17" s="28" t="s">
        <v>80</v>
      </c>
    </row>
    <row r="18" spans="1:7" x14ac:dyDescent="0.3">
      <c r="A18" s="21" t="s">
        <v>75</v>
      </c>
      <c r="B18" s="21" t="s">
        <v>95</v>
      </c>
      <c r="C18" s="33">
        <v>101.14</v>
      </c>
      <c r="D18" s="33">
        <v>115.91</v>
      </c>
      <c r="E18" s="33">
        <v>153.1</v>
      </c>
      <c r="F18" s="24" t="s">
        <v>96</v>
      </c>
      <c r="G18" s="28" t="s">
        <v>80</v>
      </c>
    </row>
    <row r="19" spans="1:7" x14ac:dyDescent="0.3">
      <c r="A19" s="21" t="s">
        <v>97</v>
      </c>
      <c r="B19" s="21" t="s">
        <v>98</v>
      </c>
      <c r="C19" s="30">
        <v>236300.73</v>
      </c>
      <c r="D19" s="30">
        <v>277586.27</v>
      </c>
      <c r="E19" s="30">
        <v>317634.64</v>
      </c>
      <c r="F19" s="24" t="s">
        <v>77</v>
      </c>
      <c r="G19" s="28" t="s">
        <v>80</v>
      </c>
    </row>
    <row r="20" spans="1:7" x14ac:dyDescent="0.3">
      <c r="A20" s="21" t="s">
        <v>97</v>
      </c>
      <c r="B20" s="21" t="s">
        <v>99</v>
      </c>
      <c r="C20" s="30">
        <v>67719.69</v>
      </c>
      <c r="D20" s="30">
        <v>79707.19</v>
      </c>
      <c r="E20" s="30">
        <v>73469.929999999993</v>
      </c>
      <c r="F20" s="24" t="s">
        <v>77</v>
      </c>
      <c r="G20" s="28" t="s">
        <v>80</v>
      </c>
    </row>
    <row r="21" spans="1:7" x14ac:dyDescent="0.3">
      <c r="A21" s="21" t="s">
        <v>97</v>
      </c>
      <c r="B21" s="21" t="s">
        <v>100</v>
      </c>
      <c r="C21" s="30">
        <v>35483.54</v>
      </c>
      <c r="D21" s="30">
        <v>41465.760000000002</v>
      </c>
      <c r="E21" s="30">
        <v>56144.57</v>
      </c>
      <c r="F21" s="24" t="s">
        <v>77</v>
      </c>
      <c r="G21" s="28" t="s">
        <v>101</v>
      </c>
    </row>
    <row r="22" spans="1:7" x14ac:dyDescent="0.3">
      <c r="A22" s="21" t="s">
        <v>97</v>
      </c>
      <c r="B22" s="21" t="s">
        <v>102</v>
      </c>
      <c r="C22" s="30">
        <v>103203.23</v>
      </c>
      <c r="D22" s="30">
        <v>121172.95</v>
      </c>
      <c r="E22" s="30">
        <v>129614.5</v>
      </c>
      <c r="F22" s="24" t="s">
        <v>77</v>
      </c>
      <c r="G22" s="28" t="s">
        <v>103</v>
      </c>
    </row>
    <row r="23" spans="1:7" x14ac:dyDescent="0.3">
      <c r="A23" s="21" t="s">
        <v>97</v>
      </c>
      <c r="B23" s="21" t="s">
        <v>104</v>
      </c>
      <c r="C23" s="30">
        <v>4530.1000000000004</v>
      </c>
      <c r="D23" s="30">
        <v>4923.8900000000003</v>
      </c>
      <c r="E23" s="30">
        <v>4292.24</v>
      </c>
      <c r="F23" s="24" t="s">
        <v>77</v>
      </c>
      <c r="G23" s="28" t="s">
        <v>80</v>
      </c>
    </row>
    <row r="24" spans="1:7" x14ac:dyDescent="0.3">
      <c r="A24" s="21" t="s">
        <v>97</v>
      </c>
      <c r="B24" s="21" t="s">
        <v>105</v>
      </c>
      <c r="C24" s="30">
        <v>25205.94</v>
      </c>
      <c r="D24" s="30">
        <v>15690.95</v>
      </c>
      <c r="E24" s="30">
        <v>27686.34</v>
      </c>
      <c r="F24" s="24" t="s">
        <v>77</v>
      </c>
      <c r="G24" s="28" t="s">
        <v>106</v>
      </c>
    </row>
    <row r="25" spans="1:7" x14ac:dyDescent="0.3">
      <c r="A25" s="21" t="s">
        <v>97</v>
      </c>
      <c r="B25" s="21" t="s">
        <v>107</v>
      </c>
      <c r="C25" s="31" t="s">
        <v>86</v>
      </c>
      <c r="D25" s="30">
        <v>3170.14</v>
      </c>
      <c r="E25" s="30">
        <v>3651.83</v>
      </c>
      <c r="F25" s="24" t="s">
        <v>77</v>
      </c>
      <c r="G25" s="28" t="s">
        <v>108</v>
      </c>
    </row>
    <row r="26" spans="1:7" x14ac:dyDescent="0.3">
      <c r="A26" s="21" t="s">
        <v>97</v>
      </c>
      <c r="B26" s="21" t="s">
        <v>109</v>
      </c>
      <c r="C26" s="31" t="s">
        <v>86</v>
      </c>
      <c r="D26" s="30">
        <v>606.22</v>
      </c>
      <c r="E26" s="30">
        <v>696.82</v>
      </c>
      <c r="F26" s="24" t="s">
        <v>77</v>
      </c>
      <c r="G26" s="28" t="s">
        <v>108</v>
      </c>
    </row>
    <row r="27" spans="1:7" x14ac:dyDescent="0.3">
      <c r="A27" s="21" t="s">
        <v>97</v>
      </c>
      <c r="B27" s="21" t="s">
        <v>110</v>
      </c>
      <c r="C27" s="31" t="s">
        <v>86</v>
      </c>
      <c r="D27" s="30">
        <v>8193.11</v>
      </c>
      <c r="E27" s="30">
        <v>18949.89</v>
      </c>
      <c r="F27" s="24" t="s">
        <v>77</v>
      </c>
      <c r="G27" s="28" t="s">
        <v>111</v>
      </c>
    </row>
    <row r="28" spans="1:7" x14ac:dyDescent="0.3">
      <c r="A28" s="21" t="s">
        <v>97</v>
      </c>
      <c r="B28" s="21" t="s">
        <v>112</v>
      </c>
      <c r="C28" s="31" t="s">
        <v>86</v>
      </c>
      <c r="D28" s="30">
        <v>33272.65</v>
      </c>
      <c r="E28" s="30">
        <v>37194.68</v>
      </c>
      <c r="F28" s="24" t="s">
        <v>77</v>
      </c>
      <c r="G28" s="28" t="s">
        <v>111</v>
      </c>
    </row>
    <row r="29" spans="1:7" ht="22.8" x14ac:dyDescent="0.3">
      <c r="A29" s="21" t="s">
        <v>113</v>
      </c>
      <c r="B29" s="21" t="s">
        <v>114</v>
      </c>
      <c r="C29" s="30">
        <v>-5629.95</v>
      </c>
      <c r="D29" s="30">
        <v>-290.8</v>
      </c>
      <c r="E29" s="30">
        <v>11657.36</v>
      </c>
      <c r="F29" s="24" t="s">
        <v>77</v>
      </c>
      <c r="G29" s="28" t="s">
        <v>115</v>
      </c>
    </row>
    <row r="30" spans="1:7" x14ac:dyDescent="0.3">
      <c r="A30" s="21" t="s">
        <v>113</v>
      </c>
      <c r="B30" s="21" t="s">
        <v>116</v>
      </c>
      <c r="C30" s="30">
        <v>-5597.77</v>
      </c>
      <c r="D30" s="30">
        <v>-15159.5</v>
      </c>
      <c r="E30" s="30">
        <v>-17707.39</v>
      </c>
      <c r="F30" s="24" t="s">
        <v>77</v>
      </c>
      <c r="G30" s="28" t="s">
        <v>80</v>
      </c>
    </row>
    <row r="31" spans="1:7" x14ac:dyDescent="0.3">
      <c r="A31" s="21" t="s">
        <v>113</v>
      </c>
      <c r="B31" s="21" t="s">
        <v>117</v>
      </c>
      <c r="C31" s="30">
        <v>12281.41</v>
      </c>
      <c r="D31" s="30">
        <v>15834.11</v>
      </c>
      <c r="E31" s="30">
        <v>5391.04</v>
      </c>
      <c r="F31" s="24" t="s">
        <v>77</v>
      </c>
      <c r="G31" s="28" t="s">
        <v>80</v>
      </c>
    </row>
    <row r="32" spans="1:7" x14ac:dyDescent="0.3">
      <c r="A32" s="21" t="s">
        <v>113</v>
      </c>
      <c r="B32" s="21" t="s">
        <v>118</v>
      </c>
      <c r="C32" s="30">
        <v>3493.41</v>
      </c>
      <c r="D32" s="30">
        <v>383.81</v>
      </c>
      <c r="E32" s="30">
        <v>-658.99</v>
      </c>
      <c r="F32" s="24" t="s">
        <v>77</v>
      </c>
      <c r="G32" s="28" t="s">
        <v>119</v>
      </c>
    </row>
    <row r="34" spans="1:7" ht="30" customHeight="1" x14ac:dyDescent="0.3">
      <c r="A34" s="8" t="s">
        <v>120</v>
      </c>
      <c r="B34" s="8"/>
      <c r="C34" s="8"/>
      <c r="D34" s="8"/>
      <c r="E34" s="8"/>
      <c r="F34" s="8"/>
      <c r="G34" s="8"/>
    </row>
  </sheetData>
  <autoFilter ref="A5:G32" xr:uid="{00000000-0009-0000-0000-000001000000}"/>
  <mergeCells count="1">
    <mergeCell ref="A34:G34"/>
  </mergeCells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  <pageSetUpPr fitToPage="1"/>
  </sheetPr>
  <dimension ref="A1:G2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18" customWidth="1"/>
    <col min="2" max="2" width="62" customWidth="1"/>
    <col min="3" max="5" width="14" customWidth="1"/>
    <col min="6" max="6" width="62" customWidth="1"/>
    <col min="7" max="7" width="74" customWidth="1"/>
  </cols>
  <sheetData>
    <row r="1" spans="1:7" ht="21" x14ac:dyDescent="0.4">
      <c r="A1" s="11" t="s">
        <v>121</v>
      </c>
    </row>
    <row r="2" spans="1:7" x14ac:dyDescent="0.3">
      <c r="A2" s="12" t="s">
        <v>122</v>
      </c>
    </row>
    <row r="3" spans="1:7" x14ac:dyDescent="0.3">
      <c r="A3" s="29" t="s">
        <v>70</v>
      </c>
    </row>
    <row r="5" spans="1:7" ht="30" customHeight="1" x14ac:dyDescent="0.3">
      <c r="A5" s="19" t="s">
        <v>123</v>
      </c>
      <c r="B5" s="20" t="s">
        <v>124</v>
      </c>
      <c r="C5" s="20" t="s">
        <v>14</v>
      </c>
      <c r="D5" s="20" t="s">
        <v>15</v>
      </c>
      <c r="E5" s="20" t="s">
        <v>11</v>
      </c>
      <c r="F5" s="20" t="s">
        <v>125</v>
      </c>
      <c r="G5" s="20" t="s">
        <v>126</v>
      </c>
    </row>
    <row r="6" spans="1:7" x14ac:dyDescent="0.3">
      <c r="A6" s="21" t="s">
        <v>127</v>
      </c>
      <c r="B6" s="34" t="s">
        <v>21</v>
      </c>
      <c r="C6" s="35" t="s">
        <v>128</v>
      </c>
      <c r="D6" s="36">
        <f>'Financial Inputs'!$D$6/'Financial Inputs'!$C$6-1</f>
        <v>0.14475697749188288</v>
      </c>
      <c r="E6" s="36">
        <f>'Financial Inputs'!$E$6/'Financial Inputs'!$D$6-1</f>
        <v>0.24233252488744172</v>
      </c>
      <c r="F6" s="28" t="s">
        <v>129</v>
      </c>
      <c r="G6" s="28" t="s">
        <v>130</v>
      </c>
    </row>
    <row r="7" spans="1:7" x14ac:dyDescent="0.3">
      <c r="A7" s="21" t="s">
        <v>131</v>
      </c>
      <c r="B7" s="34" t="s">
        <v>22</v>
      </c>
      <c r="C7" s="36">
        <f>'Financial Inputs'!$C$15/'Financial Inputs'!$C$6</f>
        <v>0.11488343937554013</v>
      </c>
      <c r="D7" s="36">
        <f>'Financial Inputs'!$D$15/'Financial Inputs'!$D$6</f>
        <v>0.11983871447932998</v>
      </c>
      <c r="E7" s="36">
        <f>'Financial Inputs'!$E$15/'Financial Inputs'!$E$6</f>
        <v>0.12732901575072658</v>
      </c>
      <c r="F7" s="28" t="s">
        <v>132</v>
      </c>
      <c r="G7" s="28" t="s">
        <v>133</v>
      </c>
    </row>
    <row r="8" spans="1:7" x14ac:dyDescent="0.3">
      <c r="A8" s="21" t="s">
        <v>131</v>
      </c>
      <c r="B8" s="34" t="s">
        <v>23</v>
      </c>
      <c r="C8" s="36">
        <f>'Financial Inputs'!$C$16/'Financial Inputs'!$C$6</f>
        <v>8.8222408863728327E-2</v>
      </c>
      <c r="D8" s="36">
        <f>'Financial Inputs'!$D$16/'Financial Inputs'!$D$6</f>
        <v>8.8393301410042355E-2</v>
      </c>
      <c r="E8" s="36">
        <f>'Financial Inputs'!$E$16/'Financial Inputs'!$E$6</f>
        <v>9.4147572019565112E-2</v>
      </c>
      <c r="F8" s="28" t="s">
        <v>134</v>
      </c>
      <c r="G8" s="28" t="s">
        <v>135</v>
      </c>
    </row>
    <row r="9" spans="1:7" ht="22.8" x14ac:dyDescent="0.3">
      <c r="A9" s="21" t="s">
        <v>131</v>
      </c>
      <c r="B9" s="34" t="s">
        <v>32</v>
      </c>
      <c r="C9" s="36">
        <f>'Financial Inputs'!$C$9/'Financial Inputs'!$C$6</f>
        <v>5.3841696477817856E-2</v>
      </c>
      <c r="D9" s="36">
        <f>'Financial Inputs'!$D$9/'Financial Inputs'!$D$6</f>
        <v>5.7052592279846298E-2</v>
      </c>
      <c r="E9" s="36">
        <f>'Financial Inputs'!$E$9/'Financial Inputs'!$E$6</f>
        <v>4.8489383687311538E-2</v>
      </c>
      <c r="F9" s="28" t="s">
        <v>136</v>
      </c>
      <c r="G9" s="28" t="s">
        <v>137</v>
      </c>
    </row>
    <row r="10" spans="1:7" x14ac:dyDescent="0.3">
      <c r="A10" s="21" t="s">
        <v>127</v>
      </c>
      <c r="B10" s="34" t="s">
        <v>138</v>
      </c>
      <c r="C10" s="35" t="s">
        <v>128</v>
      </c>
      <c r="D10" s="36">
        <f>'Financial Inputs'!$D$19/'Financial Inputs'!$C$19-1</f>
        <v>0.17471609165151536</v>
      </c>
      <c r="E10" s="36">
        <f>'Financial Inputs'!$E$19/'Financial Inputs'!$D$19-1</f>
        <v>0.14427359825830011</v>
      </c>
      <c r="F10" s="28" t="s">
        <v>139</v>
      </c>
      <c r="G10" s="28" t="s">
        <v>140</v>
      </c>
    </row>
    <row r="11" spans="1:7" x14ac:dyDescent="0.3">
      <c r="A11" s="21" t="s">
        <v>127</v>
      </c>
      <c r="B11" s="34" t="s">
        <v>141</v>
      </c>
      <c r="C11" s="35" t="s">
        <v>128</v>
      </c>
      <c r="D11" s="36">
        <f>'Financial Inputs'!$D$22/'Financial Inputs'!$C$22-1</f>
        <v>0.17411974412041165</v>
      </c>
      <c r="E11" s="36">
        <f>'Financial Inputs'!$E$22/'Financial Inputs'!$D$22-1</f>
        <v>6.9665300712741685E-2</v>
      </c>
      <c r="F11" s="28" t="s">
        <v>142</v>
      </c>
      <c r="G11" s="28" t="s">
        <v>143</v>
      </c>
    </row>
    <row r="12" spans="1:7" x14ac:dyDescent="0.3">
      <c r="A12" s="21" t="s">
        <v>127</v>
      </c>
      <c r="B12" s="34" t="s">
        <v>144</v>
      </c>
      <c r="C12" s="35" t="s">
        <v>128</v>
      </c>
      <c r="D12" s="36">
        <f>'Financial Inputs'!$D$21/'Financial Inputs'!$C$21-1</f>
        <v>0.16859140886168622</v>
      </c>
      <c r="E12" s="36">
        <f>'Financial Inputs'!$E$21/'Financial Inputs'!$D$21-1</f>
        <v>0.35399833501182654</v>
      </c>
      <c r="F12" s="28" t="s">
        <v>145</v>
      </c>
      <c r="G12" s="28" t="s">
        <v>146</v>
      </c>
    </row>
    <row r="13" spans="1:7" x14ac:dyDescent="0.3">
      <c r="A13" s="21" t="s">
        <v>127</v>
      </c>
      <c r="B13" s="34" t="s">
        <v>147</v>
      </c>
      <c r="C13" s="35" t="s">
        <v>128</v>
      </c>
      <c r="D13" s="36">
        <f>'Financial Inputs'!$D$20/'Financial Inputs'!$C$20-1</f>
        <v>0.17701646301097962</v>
      </c>
      <c r="E13" s="36">
        <f>'Financial Inputs'!$E$20/'Financial Inputs'!$D$20-1</f>
        <v>-7.8252162696991423E-2</v>
      </c>
      <c r="F13" s="28" t="s">
        <v>148</v>
      </c>
      <c r="G13" s="28" t="s">
        <v>149</v>
      </c>
    </row>
    <row r="14" spans="1:7" ht="22.8" x14ac:dyDescent="0.3">
      <c r="A14" s="21" t="s">
        <v>49</v>
      </c>
      <c r="B14" s="34" t="s">
        <v>150</v>
      </c>
      <c r="C14" s="36">
        <f>'Financial Inputs'!$C$22/'Financial Inputs'!$C$19</f>
        <v>0.43674528639839577</v>
      </c>
      <c r="D14" s="36">
        <f>'Financial Inputs'!$D$22/'Financial Inputs'!$D$19</f>
        <v>0.43652357157290234</v>
      </c>
      <c r="E14" s="36">
        <f>'Financial Inputs'!$E$22/'Financial Inputs'!$E$19</f>
        <v>0.40806160184544105</v>
      </c>
      <c r="F14" s="28" t="s">
        <v>151</v>
      </c>
      <c r="G14" s="28" t="s">
        <v>152</v>
      </c>
    </row>
    <row r="15" spans="1:7" x14ac:dyDescent="0.3">
      <c r="A15" s="21" t="s">
        <v>49</v>
      </c>
      <c r="B15" s="34" t="s">
        <v>153</v>
      </c>
      <c r="C15" s="36">
        <f>'Financial Inputs'!$C$21/'Financial Inputs'!$C$22</f>
        <v>0.34382199084272846</v>
      </c>
      <c r="D15" s="36">
        <f>'Financial Inputs'!$D$21/'Financial Inputs'!$D$22</f>
        <v>0.34220310721163433</v>
      </c>
      <c r="E15" s="36">
        <f>'Financial Inputs'!$E$21/'Financial Inputs'!$E$22</f>
        <v>0.43316581092393214</v>
      </c>
      <c r="F15" s="28" t="s">
        <v>154</v>
      </c>
      <c r="G15" s="28" t="s">
        <v>155</v>
      </c>
    </row>
    <row r="16" spans="1:7" x14ac:dyDescent="0.3">
      <c r="A16" s="21" t="s">
        <v>156</v>
      </c>
      <c r="B16" s="34" t="s">
        <v>157</v>
      </c>
      <c r="C16" s="36">
        <f>'Financial Inputs'!$C$23/'Financial Inputs'!$C$22</f>
        <v>4.3894943985764795E-2</v>
      </c>
      <c r="D16" s="36">
        <f>'Financial Inputs'!$D$23/'Financial Inputs'!$D$22</f>
        <v>4.0635224280666606E-2</v>
      </c>
      <c r="E16" s="36">
        <f>'Financial Inputs'!$E$23/'Financial Inputs'!$E$22</f>
        <v>3.3115430758132766E-2</v>
      </c>
      <c r="F16" s="28" t="s">
        <v>158</v>
      </c>
      <c r="G16" s="28" t="s">
        <v>159</v>
      </c>
    </row>
    <row r="17" spans="1:7" ht="22.8" x14ac:dyDescent="0.3">
      <c r="A17" s="21" t="s">
        <v>156</v>
      </c>
      <c r="B17" s="34" t="s">
        <v>160</v>
      </c>
      <c r="C17" s="36">
        <f>('Financial Inputs'!$C$23+'Financial Inputs'!$C$24)/'Financial Inputs'!$C$22</f>
        <v>0.28813090443002609</v>
      </c>
      <c r="D17" s="36">
        <f>('Financial Inputs'!$D$23+'Financial Inputs'!$D$24)/'Financial Inputs'!$D$22</f>
        <v>0.17012740879874594</v>
      </c>
      <c r="E17" s="36">
        <f>('Financial Inputs'!$E$23+'Financial Inputs'!$E$24)/'Financial Inputs'!$E$22</f>
        <v>0.2467206986872611</v>
      </c>
      <c r="F17" s="28" t="s">
        <v>161</v>
      </c>
      <c r="G17" s="28" t="s">
        <v>162</v>
      </c>
    </row>
    <row r="18" spans="1:7" x14ac:dyDescent="0.3">
      <c r="A18" s="21" t="s">
        <v>113</v>
      </c>
      <c r="B18" s="34" t="s">
        <v>163</v>
      </c>
      <c r="C18" s="36">
        <f>'Financial Inputs'!$C$29/'Financial Inputs'!$C$6</f>
        <v>-4.048044313464641E-2</v>
      </c>
      <c r="D18" s="36">
        <f>'Financial Inputs'!$D$29/'Financial Inputs'!$D$6</f>
        <v>-1.8265090274643394E-3</v>
      </c>
      <c r="E18" s="36">
        <f>'Financial Inputs'!$E$29/'Financial Inputs'!$E$6</f>
        <v>5.8937237243947935E-2</v>
      </c>
      <c r="F18" s="28" t="s">
        <v>164</v>
      </c>
      <c r="G18" s="28" t="s">
        <v>165</v>
      </c>
    </row>
    <row r="19" spans="1:7" x14ac:dyDescent="0.3">
      <c r="A19" s="21" t="s">
        <v>113</v>
      </c>
      <c r="B19" s="34" t="s">
        <v>31</v>
      </c>
      <c r="C19" s="36">
        <f>'Financial Inputs'!$C$29/'Financial Inputs'!$C$22</f>
        <v>-5.4552071674500886E-2</v>
      </c>
      <c r="D19" s="36">
        <f>'Financial Inputs'!$D$29/'Financial Inputs'!$D$22</f>
        <v>-2.3998755497823569E-3</v>
      </c>
      <c r="E19" s="36">
        <f>'Financial Inputs'!$E$29/'Financial Inputs'!$E$22</f>
        <v>8.9938702845746427E-2</v>
      </c>
      <c r="F19" s="28" t="s">
        <v>166</v>
      </c>
      <c r="G19" s="28" t="s">
        <v>167</v>
      </c>
    </row>
    <row r="20" spans="1:7" ht="22.8" x14ac:dyDescent="0.3">
      <c r="A20" s="21" t="s">
        <v>168</v>
      </c>
      <c r="B20" s="34" t="s">
        <v>169</v>
      </c>
      <c r="C20" s="37">
        <f>('Financial Inputs'!$C$12+'Financial Inputs'!$C$9)/'Financial Inputs'!$C$9</f>
        <v>2.9839667958030023</v>
      </c>
      <c r="D20" s="37">
        <f>('Financial Inputs'!$D$12+'Financial Inputs'!$D$9)/'Financial Inputs'!$D$9</f>
        <v>2.9312393280482287</v>
      </c>
      <c r="E20" s="37">
        <f>('Financial Inputs'!$E$12+'Financial Inputs'!$E$9)/'Financial Inputs'!$E$9</f>
        <v>3.4210419305900932</v>
      </c>
      <c r="F20" s="28" t="s">
        <v>170</v>
      </c>
      <c r="G20" s="28" t="s">
        <v>171</v>
      </c>
    </row>
    <row r="21" spans="1:7" ht="26.4" x14ac:dyDescent="0.3">
      <c r="A21" s="21" t="s">
        <v>172</v>
      </c>
      <c r="B21" s="34" t="s">
        <v>173</v>
      </c>
      <c r="C21" s="32">
        <f>'Financial Inputs'!$C$29+'Financial Inputs'!$C$30</f>
        <v>-11227.720000000001</v>
      </c>
      <c r="D21" s="32">
        <f>'Financial Inputs'!$D$29+'Financial Inputs'!$D$30</f>
        <v>-15450.3</v>
      </c>
      <c r="E21" s="32">
        <f>'Financial Inputs'!$E$29+'Financial Inputs'!$E$30</f>
        <v>-6050.0299999999988</v>
      </c>
      <c r="F21" s="28" t="s">
        <v>174</v>
      </c>
      <c r="G21" s="28" t="s">
        <v>175</v>
      </c>
    </row>
    <row r="23" spans="1:7" x14ac:dyDescent="0.3">
      <c r="B23" s="14" t="s">
        <v>176</v>
      </c>
      <c r="C23" s="38">
        <f>SUMPRODUCT(--ISERROR(C6:E21))</f>
        <v>0</v>
      </c>
      <c r="D23" s="24" t="str">
        <f>IF(C23=0,"OK","FLAG")</f>
        <v>OK</v>
      </c>
    </row>
    <row r="25" spans="1:7" ht="30" customHeight="1" x14ac:dyDescent="0.3">
      <c r="A25" s="8" t="s">
        <v>177</v>
      </c>
      <c r="B25" s="8"/>
      <c r="C25" s="8"/>
      <c r="D25" s="8"/>
      <c r="E25" s="8"/>
      <c r="F25" s="8"/>
      <c r="G25" s="8"/>
    </row>
  </sheetData>
  <autoFilter ref="A5:G21" xr:uid="{00000000-0009-0000-0000-000002000000}"/>
  <mergeCells count="1">
    <mergeCell ref="A25:G25"/>
  </mergeCells>
  <conditionalFormatting sqref="C6:E21">
    <cfRule type="cellIs" dxfId="17" priority="2" operator="lessThan">
      <formula>0</formula>
    </cfRule>
  </conditionalFormatting>
  <conditionalFormatting sqref="D23">
    <cfRule type="cellIs" dxfId="16" priority="3" operator="equal">
      <formula>"FLAG"</formula>
    </cfRule>
    <cfRule type="cellIs" dxfId="15" priority="4" operator="equal">
      <formula>"OK"</formula>
    </cfRule>
  </conditionalFormatting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597"/>
    <pageSetUpPr fitToPage="1"/>
  </sheetPr>
  <dimension ref="A1:F129"/>
  <sheetViews>
    <sheetView showGridLines="0" zoomScaleNormal="100" workbookViewId="0">
      <pane xSplit="1" ySplit="4" topLeftCell="D218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46" customWidth="1"/>
    <col min="2" max="4" width="15" customWidth="1"/>
    <col min="5" max="5" width="17" customWidth="1"/>
    <col min="6" max="6" width="70" customWidth="1"/>
  </cols>
  <sheetData>
    <row r="1" spans="1:6" ht="21" x14ac:dyDescent="0.4">
      <c r="A1" s="11" t="s">
        <v>178</v>
      </c>
    </row>
    <row r="2" spans="1:6" x14ac:dyDescent="0.3">
      <c r="A2" s="12" t="s">
        <v>179</v>
      </c>
    </row>
    <row r="3" spans="1:6" x14ac:dyDescent="0.3">
      <c r="A3" s="29" t="s">
        <v>70</v>
      </c>
    </row>
    <row r="5" spans="1:6" x14ac:dyDescent="0.3">
      <c r="A5" s="17" t="s">
        <v>180</v>
      </c>
      <c r="B5" s="18"/>
      <c r="C5" s="18"/>
      <c r="D5" s="18"/>
      <c r="E5" s="18"/>
      <c r="F5" s="18"/>
    </row>
    <row r="6" spans="1:6" ht="30" customHeight="1" x14ac:dyDescent="0.3">
      <c r="A6" s="19" t="s">
        <v>181</v>
      </c>
      <c r="B6" s="20" t="s">
        <v>14</v>
      </c>
      <c r="C6" s="20" t="s">
        <v>15</v>
      </c>
      <c r="D6" s="20" t="s">
        <v>11</v>
      </c>
      <c r="E6" s="20" t="s">
        <v>73</v>
      </c>
      <c r="F6" s="20" t="s">
        <v>182</v>
      </c>
    </row>
    <row r="7" spans="1:6" x14ac:dyDescent="0.3">
      <c r="A7" s="21" t="s">
        <v>183</v>
      </c>
      <c r="B7" s="30">
        <v>75488.31</v>
      </c>
      <c r="C7" s="30">
        <v>90424.08</v>
      </c>
      <c r="D7" s="30">
        <v>117363.87</v>
      </c>
      <c r="E7" s="24" t="s">
        <v>77</v>
      </c>
      <c r="F7" s="39"/>
    </row>
    <row r="8" spans="1:6" x14ac:dyDescent="0.3">
      <c r="A8" s="21" t="s">
        <v>184</v>
      </c>
      <c r="B8" s="30">
        <v>33398.870000000003</v>
      </c>
      <c r="C8" s="30">
        <v>35315.81</v>
      </c>
      <c r="D8" s="30">
        <v>42397.440000000002</v>
      </c>
      <c r="E8" s="24" t="s">
        <v>77</v>
      </c>
      <c r="F8" s="39"/>
    </row>
    <row r="9" spans="1:6" x14ac:dyDescent="0.3">
      <c r="A9" s="21" t="s">
        <v>185</v>
      </c>
      <c r="B9" s="30">
        <v>15652.02</v>
      </c>
      <c r="C9" s="30">
        <v>18295.830000000002</v>
      </c>
      <c r="D9" s="30">
        <v>20817.689999999999</v>
      </c>
      <c r="E9" s="24" t="s">
        <v>77</v>
      </c>
      <c r="F9" s="39"/>
    </row>
    <row r="10" spans="1:6" x14ac:dyDescent="0.3">
      <c r="A10" s="21" t="s">
        <v>186</v>
      </c>
      <c r="B10" s="30">
        <v>14539.07</v>
      </c>
      <c r="C10" s="30">
        <v>15175.1</v>
      </c>
      <c r="D10" s="30">
        <v>18059.55</v>
      </c>
      <c r="E10" s="24" t="s">
        <v>77</v>
      </c>
      <c r="F10" s="39"/>
    </row>
    <row r="11" spans="1:6" ht="22.8" x14ac:dyDescent="0.3">
      <c r="A11" s="14" t="s">
        <v>187</v>
      </c>
      <c r="B11" s="40">
        <v>139078.26999999999</v>
      </c>
      <c r="C11" s="40">
        <v>159210.82</v>
      </c>
      <c r="D11" s="40">
        <v>198638.55</v>
      </c>
      <c r="E11" s="24" t="s">
        <v>77</v>
      </c>
      <c r="F11" s="28" t="s">
        <v>188</v>
      </c>
    </row>
    <row r="12" spans="1:6" x14ac:dyDescent="0.3">
      <c r="A12" s="21" t="s">
        <v>189</v>
      </c>
      <c r="B12" s="32">
        <f>SUM(B7:B10)</f>
        <v>139078.26999999999</v>
      </c>
      <c r="C12" s="32">
        <f>SUM(C7:C10)</f>
        <v>159210.82</v>
      </c>
      <c r="D12" s="32">
        <f>SUM(D7:D10)</f>
        <v>198638.55</v>
      </c>
      <c r="E12" s="24" t="s">
        <v>77</v>
      </c>
      <c r="F12" s="39"/>
    </row>
    <row r="13" spans="1:6" x14ac:dyDescent="0.3">
      <c r="A13" s="21" t="s">
        <v>190</v>
      </c>
      <c r="B13" s="32">
        <f>B12-B11</f>
        <v>0</v>
      </c>
      <c r="C13" s="32">
        <f>C12-C11</f>
        <v>0</v>
      </c>
      <c r="D13" s="32">
        <f>D12-D11</f>
        <v>0</v>
      </c>
      <c r="E13" s="24" t="s">
        <v>77</v>
      </c>
      <c r="F13" s="39" t="s">
        <v>191</v>
      </c>
    </row>
    <row r="15" spans="1:6" x14ac:dyDescent="0.3">
      <c r="A15" s="17" t="s">
        <v>192</v>
      </c>
      <c r="B15" s="18"/>
      <c r="C15" s="18"/>
      <c r="D15" s="18"/>
      <c r="E15" s="18"/>
      <c r="F15" s="18"/>
    </row>
    <row r="16" spans="1:6" ht="30" customHeight="1" x14ac:dyDescent="0.3">
      <c r="A16" s="19" t="s">
        <v>181</v>
      </c>
      <c r="B16" s="20" t="s">
        <v>14</v>
      </c>
      <c r="C16" s="20" t="s">
        <v>15</v>
      </c>
      <c r="D16" s="20" t="s">
        <v>11</v>
      </c>
      <c r="E16" s="20" t="s">
        <v>73</v>
      </c>
      <c r="F16" s="20" t="s">
        <v>182</v>
      </c>
    </row>
    <row r="17" spans="1:6" x14ac:dyDescent="0.3">
      <c r="A17" s="21" t="s">
        <v>183</v>
      </c>
      <c r="B17" s="30">
        <v>6057.12</v>
      </c>
      <c r="C17" s="30">
        <v>7797.4</v>
      </c>
      <c r="D17" s="30">
        <v>10383.469999999999</v>
      </c>
      <c r="E17" s="24" t="s">
        <v>77</v>
      </c>
      <c r="F17" s="39"/>
    </row>
    <row r="18" spans="1:6" x14ac:dyDescent="0.3">
      <c r="A18" s="21" t="s">
        <v>184</v>
      </c>
      <c r="B18" s="30">
        <v>4326.62</v>
      </c>
      <c r="C18" s="30">
        <v>4946.6499999999996</v>
      </c>
      <c r="D18" s="30">
        <v>5516.9</v>
      </c>
      <c r="E18" s="24" t="s">
        <v>77</v>
      </c>
      <c r="F18" s="39"/>
    </row>
    <row r="19" spans="1:6" x14ac:dyDescent="0.3">
      <c r="A19" s="21" t="s">
        <v>185</v>
      </c>
      <c r="B19" s="30">
        <v>2557.2199999999998</v>
      </c>
      <c r="C19" s="30">
        <v>3002.02</v>
      </c>
      <c r="D19" s="30">
        <v>3778.53</v>
      </c>
      <c r="E19" s="24" t="s">
        <v>77</v>
      </c>
      <c r="F19" s="39"/>
    </row>
    <row r="20" spans="1:6" x14ac:dyDescent="0.3">
      <c r="A20" s="21" t="s">
        <v>186</v>
      </c>
      <c r="B20" s="30">
        <v>2259.12</v>
      </c>
      <c r="C20" s="30">
        <v>2717.52</v>
      </c>
      <c r="D20" s="30">
        <v>3704.64</v>
      </c>
      <c r="E20" s="24" t="s">
        <v>77</v>
      </c>
      <c r="F20" s="39"/>
    </row>
    <row r="21" spans="1:6" x14ac:dyDescent="0.3">
      <c r="A21" s="14" t="s">
        <v>187</v>
      </c>
      <c r="B21" s="40">
        <v>15200.08</v>
      </c>
      <c r="C21" s="40">
        <v>18463.59</v>
      </c>
      <c r="D21" s="40">
        <v>23383.54</v>
      </c>
      <c r="E21" s="24" t="s">
        <v>77</v>
      </c>
      <c r="F21" s="28" t="s">
        <v>193</v>
      </c>
    </row>
    <row r="22" spans="1:6" x14ac:dyDescent="0.3">
      <c r="A22" s="21" t="s">
        <v>189</v>
      </c>
      <c r="B22" s="32">
        <f>SUM(B17:B20)</f>
        <v>15200.079999999998</v>
      </c>
      <c r="C22" s="32">
        <f>SUM(C17:C20)</f>
        <v>18463.59</v>
      </c>
      <c r="D22" s="32">
        <f>SUM(D17:D20)</f>
        <v>23383.539999999997</v>
      </c>
      <c r="E22" s="24" t="s">
        <v>77</v>
      </c>
      <c r="F22" s="39"/>
    </row>
    <row r="23" spans="1:6" x14ac:dyDescent="0.3">
      <c r="A23" s="21" t="s">
        <v>190</v>
      </c>
      <c r="B23" s="32">
        <f>B22-B21</f>
        <v>0</v>
      </c>
      <c r="C23" s="32">
        <f>C22-C21</f>
        <v>0</v>
      </c>
      <c r="D23" s="32">
        <f>D22-D21</f>
        <v>0</v>
      </c>
      <c r="E23" s="24" t="s">
        <v>77</v>
      </c>
      <c r="F23" s="39" t="s">
        <v>191</v>
      </c>
    </row>
    <row r="25" spans="1:6" x14ac:dyDescent="0.3">
      <c r="A25" s="17" t="s">
        <v>194</v>
      </c>
      <c r="B25" s="18"/>
      <c r="C25" s="18"/>
      <c r="D25" s="18"/>
      <c r="E25" s="18"/>
      <c r="F25" s="18"/>
    </row>
    <row r="26" spans="1:6" ht="30" customHeight="1" x14ac:dyDescent="0.3">
      <c r="A26" s="19" t="s">
        <v>181</v>
      </c>
      <c r="B26" s="20" t="s">
        <v>14</v>
      </c>
      <c r="C26" s="20" t="s">
        <v>15</v>
      </c>
      <c r="D26" s="20" t="s">
        <v>11</v>
      </c>
      <c r="E26" s="20" t="s">
        <v>73</v>
      </c>
      <c r="F26" s="20" t="s">
        <v>182</v>
      </c>
    </row>
    <row r="27" spans="1:6" x14ac:dyDescent="0.3">
      <c r="A27" s="21" t="s">
        <v>183</v>
      </c>
      <c r="B27" s="30">
        <v>39487.01</v>
      </c>
      <c r="C27" s="30">
        <v>47136.13</v>
      </c>
      <c r="D27" s="30">
        <v>54612.25</v>
      </c>
      <c r="E27" s="24" t="s">
        <v>77</v>
      </c>
      <c r="F27" s="39"/>
    </row>
    <row r="28" spans="1:6" x14ac:dyDescent="0.3">
      <c r="A28" s="21" t="s">
        <v>184</v>
      </c>
      <c r="B28" s="30">
        <v>18078.13</v>
      </c>
      <c r="C28" s="30">
        <v>18309.669999999998</v>
      </c>
      <c r="D28" s="30">
        <v>18755.5</v>
      </c>
      <c r="E28" s="24" t="s">
        <v>77</v>
      </c>
      <c r="F28" s="39"/>
    </row>
    <row r="29" spans="1:6" x14ac:dyDescent="0.3">
      <c r="A29" s="21" t="s">
        <v>185</v>
      </c>
      <c r="B29" s="30">
        <v>120162.81</v>
      </c>
      <c r="C29" s="30">
        <v>139101.47</v>
      </c>
      <c r="D29" s="30">
        <v>155756.75</v>
      </c>
      <c r="E29" s="24" t="s">
        <v>77</v>
      </c>
      <c r="F29" s="39"/>
    </row>
    <row r="30" spans="1:6" x14ac:dyDescent="0.3">
      <c r="A30" s="21" t="s">
        <v>186</v>
      </c>
      <c r="B30" s="30">
        <v>33910.129999999997</v>
      </c>
      <c r="C30" s="30">
        <v>37376.19</v>
      </c>
      <c r="D30" s="30">
        <v>41763.129999999997</v>
      </c>
      <c r="E30" s="24" t="s">
        <v>77</v>
      </c>
      <c r="F30" s="39"/>
    </row>
    <row r="31" spans="1:6" x14ac:dyDescent="0.3">
      <c r="A31" s="14" t="s">
        <v>187</v>
      </c>
      <c r="B31" s="40">
        <v>211638.08</v>
      </c>
      <c r="C31" s="40">
        <v>241923.46</v>
      </c>
      <c r="D31" s="40">
        <v>270887.63</v>
      </c>
      <c r="E31" s="24" t="s">
        <v>77</v>
      </c>
      <c r="F31" s="28" t="s">
        <v>193</v>
      </c>
    </row>
    <row r="32" spans="1:6" x14ac:dyDescent="0.3">
      <c r="A32" s="21" t="s">
        <v>189</v>
      </c>
      <c r="B32" s="32">
        <f>SUM(B27:B30)</f>
        <v>211638.08000000002</v>
      </c>
      <c r="C32" s="32">
        <f>SUM(C27:C30)</f>
        <v>241923.46</v>
      </c>
      <c r="D32" s="32">
        <f>SUM(D27:D30)</f>
        <v>270887.63</v>
      </c>
      <c r="E32" s="24" t="s">
        <v>77</v>
      </c>
      <c r="F32" s="39"/>
    </row>
    <row r="33" spans="1:6" x14ac:dyDescent="0.3">
      <c r="A33" s="21" t="s">
        <v>190</v>
      </c>
      <c r="B33" s="32">
        <f>B32-B31</f>
        <v>0</v>
      </c>
      <c r="C33" s="32">
        <f>C32-C31</f>
        <v>0</v>
      </c>
      <c r="D33" s="32">
        <f>D32-D31</f>
        <v>0</v>
      </c>
      <c r="E33" s="24" t="s">
        <v>77</v>
      </c>
      <c r="F33" s="39" t="s">
        <v>191</v>
      </c>
    </row>
    <row r="35" spans="1:6" x14ac:dyDescent="0.3">
      <c r="A35" s="17" t="s">
        <v>195</v>
      </c>
      <c r="B35" s="18"/>
      <c r="C35" s="18"/>
      <c r="D35" s="18"/>
      <c r="E35" s="18"/>
      <c r="F35" s="18"/>
    </row>
    <row r="36" spans="1:6" ht="30" customHeight="1" x14ac:dyDescent="0.3">
      <c r="A36" s="19" t="s">
        <v>181</v>
      </c>
      <c r="B36" s="20" t="s">
        <v>14</v>
      </c>
      <c r="C36" s="20" t="s">
        <v>15</v>
      </c>
      <c r="D36" s="20" t="s">
        <v>11</v>
      </c>
      <c r="E36" s="20" t="s">
        <v>73</v>
      </c>
      <c r="F36" s="20" t="s">
        <v>182</v>
      </c>
    </row>
    <row r="37" spans="1:6" x14ac:dyDescent="0.3">
      <c r="A37" s="21" t="s">
        <v>183</v>
      </c>
      <c r="B37" s="30">
        <v>22886.46</v>
      </c>
      <c r="C37" s="30">
        <v>29223.19</v>
      </c>
      <c r="D37" s="30">
        <v>37270.730000000003</v>
      </c>
      <c r="E37" s="24" t="s">
        <v>77</v>
      </c>
      <c r="F37" s="39"/>
    </row>
    <row r="38" spans="1:6" x14ac:dyDescent="0.3">
      <c r="A38" s="21" t="s">
        <v>184</v>
      </c>
      <c r="B38" s="30">
        <v>8642.3799999999992</v>
      </c>
      <c r="C38" s="30">
        <v>9308.1299999999992</v>
      </c>
      <c r="D38" s="30">
        <v>11057.77</v>
      </c>
      <c r="E38" s="24" t="s">
        <v>77</v>
      </c>
      <c r="F38" s="39"/>
    </row>
    <row r="39" spans="1:6" x14ac:dyDescent="0.3">
      <c r="A39" s="21" t="s">
        <v>185</v>
      </c>
      <c r="B39" s="30">
        <v>103345.96</v>
      </c>
      <c r="C39" s="30">
        <v>122259.51</v>
      </c>
      <c r="D39" s="30">
        <v>131591.34</v>
      </c>
      <c r="E39" s="24" t="s">
        <v>77</v>
      </c>
      <c r="F39" s="39"/>
    </row>
    <row r="40" spans="1:6" x14ac:dyDescent="0.3">
      <c r="A40" s="21" t="s">
        <v>186</v>
      </c>
      <c r="B40" s="30">
        <v>14074.04</v>
      </c>
      <c r="C40" s="30">
        <v>15976.86</v>
      </c>
      <c r="D40" s="30">
        <v>17931.66</v>
      </c>
      <c r="E40" s="24" t="s">
        <v>77</v>
      </c>
      <c r="F40" s="39"/>
    </row>
    <row r="41" spans="1:6" x14ac:dyDescent="0.3">
      <c r="A41" s="14" t="s">
        <v>187</v>
      </c>
      <c r="B41" s="40">
        <v>148948.84</v>
      </c>
      <c r="C41" s="40">
        <v>176767.69</v>
      </c>
      <c r="D41" s="40">
        <v>197851.5</v>
      </c>
      <c r="E41" s="24" t="s">
        <v>77</v>
      </c>
      <c r="F41" s="28" t="s">
        <v>193</v>
      </c>
    </row>
    <row r="42" spans="1:6" x14ac:dyDescent="0.3">
      <c r="A42" s="21" t="s">
        <v>189</v>
      </c>
      <c r="B42" s="32">
        <f>SUM(B37:B40)</f>
        <v>148948.84</v>
      </c>
      <c r="C42" s="32">
        <f>SUM(C37:C40)</f>
        <v>176767.69</v>
      </c>
      <c r="D42" s="32">
        <f>SUM(D37:D40)</f>
        <v>197851.5</v>
      </c>
      <c r="E42" s="24" t="s">
        <v>77</v>
      </c>
      <c r="F42" s="39"/>
    </row>
    <row r="43" spans="1:6" x14ac:dyDescent="0.3">
      <c r="A43" s="21" t="s">
        <v>190</v>
      </c>
      <c r="B43" s="32">
        <f>B42-B41</f>
        <v>0</v>
      </c>
      <c r="C43" s="32">
        <f>C42-C41</f>
        <v>0</v>
      </c>
      <c r="D43" s="32">
        <f>D42-D41</f>
        <v>0</v>
      </c>
      <c r="E43" s="24" t="s">
        <v>77</v>
      </c>
      <c r="F43" s="39" t="s">
        <v>191</v>
      </c>
    </row>
    <row r="45" spans="1:6" x14ac:dyDescent="0.3">
      <c r="A45" s="17" t="s">
        <v>196</v>
      </c>
      <c r="B45" s="18"/>
      <c r="C45" s="18"/>
      <c r="D45" s="18"/>
      <c r="E45" s="18"/>
      <c r="F45" s="18"/>
    </row>
    <row r="46" spans="1:6" ht="30" customHeight="1" x14ac:dyDescent="0.3">
      <c r="A46" s="19" t="s">
        <v>181</v>
      </c>
      <c r="B46" s="20" t="s">
        <v>14</v>
      </c>
      <c r="C46" s="20" t="s">
        <v>15</v>
      </c>
      <c r="D46" s="20" t="s">
        <v>11</v>
      </c>
      <c r="E46" s="20" t="s">
        <v>197</v>
      </c>
      <c r="F46" s="20" t="s">
        <v>182</v>
      </c>
    </row>
    <row r="47" spans="1:6" x14ac:dyDescent="0.3">
      <c r="A47" s="21" t="s">
        <v>183</v>
      </c>
      <c r="B47" s="41" t="s">
        <v>128</v>
      </c>
      <c r="C47" s="36">
        <f t="shared" ref="C47:D51" si="0">C7/B7-1</f>
        <v>0.1978554030418751</v>
      </c>
      <c r="D47" s="36">
        <f t="shared" si="0"/>
        <v>0.29792716718820911</v>
      </c>
      <c r="E47" s="36">
        <f>(D7/B7)^(1/2)-1</f>
        <v>0.24688775355732462</v>
      </c>
      <c r="F47" s="39"/>
    </row>
    <row r="48" spans="1:6" x14ac:dyDescent="0.3">
      <c r="A48" s="21" t="s">
        <v>184</v>
      </c>
      <c r="B48" s="41" t="s">
        <v>128</v>
      </c>
      <c r="C48" s="36">
        <f t="shared" si="0"/>
        <v>5.7395354992548997E-2</v>
      </c>
      <c r="D48" s="36">
        <f t="shared" si="0"/>
        <v>0.20052293859322501</v>
      </c>
      <c r="E48" s="36">
        <f>(D8/B8)^(1/2)-1</f>
        <v>0.12668867875313339</v>
      </c>
      <c r="F48" s="39"/>
    </row>
    <row r="49" spans="1:6" x14ac:dyDescent="0.3">
      <c r="A49" s="21" t="s">
        <v>185</v>
      </c>
      <c r="B49" s="41" t="s">
        <v>128</v>
      </c>
      <c r="C49" s="36">
        <f t="shared" si="0"/>
        <v>0.16891174429881906</v>
      </c>
      <c r="D49" s="36">
        <f t="shared" si="0"/>
        <v>0.13783796635626788</v>
      </c>
      <c r="E49" s="36">
        <f>(D9/B9)^(1/2)-1</f>
        <v>0.15327020337079977</v>
      </c>
      <c r="F49" s="39"/>
    </row>
    <row r="50" spans="1:6" x14ac:dyDescent="0.3">
      <c r="A50" s="21" t="s">
        <v>186</v>
      </c>
      <c r="B50" s="41" t="s">
        <v>128</v>
      </c>
      <c r="C50" s="36">
        <f t="shared" si="0"/>
        <v>4.3746264375919441E-2</v>
      </c>
      <c r="D50" s="36">
        <f t="shared" si="0"/>
        <v>0.19007782485782632</v>
      </c>
      <c r="E50" s="36">
        <f>(D10/B10)^(1/2)-1</f>
        <v>0.11451302550126163</v>
      </c>
      <c r="F50" s="39"/>
    </row>
    <row r="51" spans="1:6" x14ac:dyDescent="0.3">
      <c r="A51" s="14" t="s">
        <v>198</v>
      </c>
      <c r="B51" s="42" t="s">
        <v>128</v>
      </c>
      <c r="C51" s="26">
        <f t="shared" si="0"/>
        <v>0.14475697749188288</v>
      </c>
      <c r="D51" s="26">
        <f t="shared" si="0"/>
        <v>0.24764478946845436</v>
      </c>
      <c r="E51" s="26">
        <f>(D11/B11)^(1/2)-1</f>
        <v>0.1950941712582337</v>
      </c>
      <c r="F51" s="39"/>
    </row>
    <row r="52" spans="1:6" ht="27.75" customHeight="1" x14ac:dyDescent="0.3">
      <c r="A52" s="8" t="s">
        <v>199</v>
      </c>
      <c r="B52" s="8"/>
      <c r="C52" s="8"/>
      <c r="D52" s="8"/>
      <c r="E52" s="8"/>
      <c r="F52" s="8"/>
    </row>
    <row r="54" spans="1:6" x14ac:dyDescent="0.3">
      <c r="A54" s="17" t="s">
        <v>200</v>
      </c>
      <c r="B54" s="18"/>
      <c r="C54" s="18"/>
      <c r="D54" s="18"/>
      <c r="E54" s="18"/>
      <c r="F54" s="18"/>
    </row>
    <row r="55" spans="1:6" ht="30" customHeight="1" x14ac:dyDescent="0.3">
      <c r="A55" s="19" t="s">
        <v>181</v>
      </c>
      <c r="B55" s="20" t="s">
        <v>14</v>
      </c>
      <c r="C55" s="20" t="s">
        <v>15</v>
      </c>
      <c r="D55" s="20" t="s">
        <v>11</v>
      </c>
      <c r="E55" s="20"/>
      <c r="F55" s="20" t="s">
        <v>182</v>
      </c>
    </row>
    <row r="56" spans="1:6" x14ac:dyDescent="0.3">
      <c r="A56" s="21" t="s">
        <v>183</v>
      </c>
      <c r="B56" s="36">
        <f>B7/B11</f>
        <v>0.54277573340536955</v>
      </c>
      <c r="C56" s="36">
        <f>C7/C11</f>
        <v>0.56795185151360938</v>
      </c>
      <c r="D56" s="36">
        <f>D7/D11</f>
        <v>0.59084135481254774</v>
      </c>
      <c r="E56" s="21"/>
      <c r="F56" s="39"/>
    </row>
    <row r="57" spans="1:6" x14ac:dyDescent="0.3">
      <c r="A57" s="21" t="s">
        <v>184</v>
      </c>
      <c r="B57" s="36">
        <f>B8/B11</f>
        <v>0.24014441652171833</v>
      </c>
      <c r="C57" s="36">
        <f>C8/C11</f>
        <v>0.2218179015722675</v>
      </c>
      <c r="D57" s="36">
        <f>D8/D11</f>
        <v>0.21344014039570872</v>
      </c>
      <c r="E57" s="21"/>
      <c r="F57" s="39"/>
    </row>
    <row r="58" spans="1:6" x14ac:dyDescent="0.3">
      <c r="A58" s="21" t="s">
        <v>185</v>
      </c>
      <c r="B58" s="36">
        <f>B9/B11</f>
        <v>0.11254108927296839</v>
      </c>
      <c r="C58" s="36">
        <f>C9/C11</f>
        <v>0.11491574504798104</v>
      </c>
      <c r="D58" s="36">
        <f>D9/D11</f>
        <v>0.10480186247835578</v>
      </c>
      <c r="E58" s="21"/>
      <c r="F58" s="39"/>
    </row>
    <row r="59" spans="1:6" x14ac:dyDescent="0.3">
      <c r="A59" s="21" t="s">
        <v>186</v>
      </c>
      <c r="B59" s="36">
        <f>B10/B11</f>
        <v>0.10453876079994381</v>
      </c>
      <c r="C59" s="36">
        <f>C10/C11</f>
        <v>9.5314501866142015E-2</v>
      </c>
      <c r="D59" s="36">
        <f>D10/D11</f>
        <v>9.0916642313387808E-2</v>
      </c>
      <c r="E59" s="21"/>
      <c r="F59" s="39"/>
    </row>
    <row r="60" spans="1:6" x14ac:dyDescent="0.3">
      <c r="A60" s="14" t="s">
        <v>201</v>
      </c>
      <c r="B60" s="26">
        <f>SUM(B56:B59)</f>
        <v>1</v>
      </c>
      <c r="C60" s="26">
        <f>SUM(C56:C59)</f>
        <v>1</v>
      </c>
      <c r="D60" s="26">
        <f>SUM(D56:D59)</f>
        <v>1</v>
      </c>
      <c r="E60" s="21"/>
      <c r="F60" s="39"/>
    </row>
    <row r="62" spans="1:6" x14ac:dyDescent="0.3">
      <c r="A62" s="17" t="s">
        <v>202</v>
      </c>
      <c r="B62" s="18"/>
      <c r="C62" s="18"/>
      <c r="D62" s="18"/>
      <c r="E62" s="18"/>
      <c r="F62" s="18"/>
    </row>
    <row r="63" spans="1:6" ht="30" customHeight="1" x14ac:dyDescent="0.3">
      <c r="A63" s="19" t="s">
        <v>181</v>
      </c>
      <c r="B63" s="20" t="s">
        <v>14</v>
      </c>
      <c r="C63" s="20" t="s">
        <v>15</v>
      </c>
      <c r="D63" s="20" t="s">
        <v>11</v>
      </c>
      <c r="E63" s="20"/>
      <c r="F63" s="20" t="s">
        <v>182</v>
      </c>
    </row>
    <row r="64" spans="1:6" x14ac:dyDescent="0.3">
      <c r="A64" s="21" t="s">
        <v>183</v>
      </c>
      <c r="B64" s="36">
        <f t="shared" ref="B64:D68" si="1">B17/B7</f>
        <v>8.0239178754962198E-2</v>
      </c>
      <c r="C64" s="36">
        <f t="shared" si="1"/>
        <v>8.6231455161058859E-2</v>
      </c>
      <c r="D64" s="36">
        <f t="shared" si="1"/>
        <v>8.8472457494798012E-2</v>
      </c>
      <c r="E64" s="21"/>
      <c r="F64" s="39"/>
    </row>
    <row r="65" spans="1:6" x14ac:dyDescent="0.3">
      <c r="A65" s="21" t="s">
        <v>184</v>
      </c>
      <c r="B65" s="36">
        <f t="shared" si="1"/>
        <v>0.12954390373087471</v>
      </c>
      <c r="C65" s="36">
        <f t="shared" si="1"/>
        <v>0.14006899459477215</v>
      </c>
      <c r="D65" s="36">
        <f t="shared" si="1"/>
        <v>0.13012342254626694</v>
      </c>
      <c r="E65" s="21"/>
      <c r="F65" s="39"/>
    </row>
    <row r="66" spans="1:6" x14ac:dyDescent="0.3">
      <c r="A66" s="21" t="s">
        <v>185</v>
      </c>
      <c r="B66" s="36">
        <f t="shared" si="1"/>
        <v>0.16337955101002935</v>
      </c>
      <c r="C66" s="36">
        <f t="shared" si="1"/>
        <v>0.16408219796532869</v>
      </c>
      <c r="D66" s="36">
        <f t="shared" si="1"/>
        <v>0.18150572902180792</v>
      </c>
      <c r="E66" s="21"/>
      <c r="F66" s="39"/>
    </row>
    <row r="67" spans="1:6" x14ac:dyDescent="0.3">
      <c r="A67" s="21" t="s">
        <v>186</v>
      </c>
      <c r="B67" s="36">
        <f t="shared" si="1"/>
        <v>0.15538270329532769</v>
      </c>
      <c r="C67" s="36">
        <f t="shared" si="1"/>
        <v>0.17907756785787243</v>
      </c>
      <c r="D67" s="36">
        <f t="shared" si="1"/>
        <v>0.20513467943553412</v>
      </c>
      <c r="E67" s="21"/>
      <c r="F67" s="39"/>
    </row>
    <row r="68" spans="1:6" x14ac:dyDescent="0.3">
      <c r="A68" s="14" t="s">
        <v>198</v>
      </c>
      <c r="B68" s="26">
        <f t="shared" si="1"/>
        <v>0.10929155215980182</v>
      </c>
      <c r="C68" s="26">
        <f t="shared" si="1"/>
        <v>0.11596944227785523</v>
      </c>
      <c r="D68" s="26">
        <f t="shared" si="1"/>
        <v>0.11771904295515651</v>
      </c>
      <c r="E68" s="21"/>
      <c r="F68" s="39"/>
    </row>
    <row r="69" spans="1:6" ht="27.75" customHeight="1" x14ac:dyDescent="0.3">
      <c r="A69" s="8" t="s">
        <v>203</v>
      </c>
      <c r="B69" s="8"/>
      <c r="C69" s="8"/>
      <c r="D69" s="8"/>
      <c r="E69" s="8"/>
      <c r="F69" s="8"/>
    </row>
    <row r="71" spans="1:6" x14ac:dyDescent="0.3">
      <c r="A71" s="17" t="s">
        <v>204</v>
      </c>
      <c r="B71" s="18"/>
      <c r="C71" s="18"/>
      <c r="D71" s="18"/>
      <c r="E71" s="18"/>
      <c r="F71" s="18"/>
    </row>
    <row r="72" spans="1:6" ht="30" customHeight="1" x14ac:dyDescent="0.3">
      <c r="A72" s="19" t="s">
        <v>181</v>
      </c>
      <c r="B72" s="20" t="s">
        <v>14</v>
      </c>
      <c r="C72" s="20" t="s">
        <v>15</v>
      </c>
      <c r="D72" s="20" t="s">
        <v>11</v>
      </c>
      <c r="E72" s="20"/>
      <c r="F72" s="20" t="s">
        <v>182</v>
      </c>
    </row>
    <row r="73" spans="1:6" x14ac:dyDescent="0.3">
      <c r="A73" s="21" t="s">
        <v>183</v>
      </c>
      <c r="B73" s="36">
        <f>B17/B21</f>
        <v>0.39849263951242364</v>
      </c>
      <c r="C73" s="36">
        <f>C17/C21</f>
        <v>0.42231223721930566</v>
      </c>
      <c r="D73" s="36">
        <f>D17/D21</f>
        <v>0.44405038758032356</v>
      </c>
      <c r="E73" s="21"/>
      <c r="F73" s="39"/>
    </row>
    <row r="74" spans="1:6" x14ac:dyDescent="0.3">
      <c r="A74" s="21" t="s">
        <v>184</v>
      </c>
      <c r="B74" s="36">
        <f>B18/B21</f>
        <v>0.28464455450234472</v>
      </c>
      <c r="C74" s="36">
        <f>C18/C21</f>
        <v>0.26791376974900327</v>
      </c>
      <c r="D74" s="36">
        <f>D18/D21</f>
        <v>0.23593091550723283</v>
      </c>
      <c r="E74" s="21"/>
      <c r="F74" s="39"/>
    </row>
    <row r="75" spans="1:6" x14ac:dyDescent="0.3">
      <c r="A75" s="21" t="s">
        <v>185</v>
      </c>
      <c r="B75" s="36">
        <f>B19/B21</f>
        <v>0.16823727243540823</v>
      </c>
      <c r="C75" s="36">
        <f>C19/C21</f>
        <v>0.16259134870304204</v>
      </c>
      <c r="D75" s="36">
        <f>D19/D21</f>
        <v>0.16158930598190008</v>
      </c>
      <c r="E75" s="21"/>
      <c r="F75" s="39"/>
    </row>
    <row r="76" spans="1:6" x14ac:dyDescent="0.3">
      <c r="A76" s="21" t="s">
        <v>186</v>
      </c>
      <c r="B76" s="36">
        <f>B20/B21</f>
        <v>0.14862553354982341</v>
      </c>
      <c r="C76" s="36">
        <f>C20/C21</f>
        <v>0.14718264432864897</v>
      </c>
      <c r="D76" s="36">
        <f>D20/D21</f>
        <v>0.15842939093054345</v>
      </c>
      <c r="E76" s="21"/>
      <c r="F76" s="39"/>
    </row>
    <row r="77" spans="1:6" x14ac:dyDescent="0.3">
      <c r="A77" s="14" t="s">
        <v>201</v>
      </c>
      <c r="B77" s="26">
        <f>SUM(B73:B76)</f>
        <v>1</v>
      </c>
      <c r="C77" s="26">
        <f>SUM(C73:C76)</f>
        <v>1</v>
      </c>
      <c r="D77" s="26">
        <f>SUM(D73:D76)</f>
        <v>0.99999999999999978</v>
      </c>
      <c r="E77" s="21"/>
      <c r="F77" s="39"/>
    </row>
    <row r="79" spans="1:6" x14ac:dyDescent="0.3">
      <c r="A79" s="17" t="s">
        <v>205</v>
      </c>
      <c r="B79" s="18"/>
      <c r="C79" s="18"/>
      <c r="D79" s="18"/>
      <c r="E79" s="18"/>
      <c r="F79" s="18"/>
    </row>
    <row r="80" spans="1:6" ht="30" customHeight="1" x14ac:dyDescent="0.3">
      <c r="A80" s="19" t="s">
        <v>181</v>
      </c>
      <c r="B80" s="20" t="s">
        <v>14</v>
      </c>
      <c r="C80" s="20" t="s">
        <v>15</v>
      </c>
      <c r="D80" s="20" t="s">
        <v>11</v>
      </c>
      <c r="E80" s="20"/>
      <c r="F80" s="20" t="s">
        <v>182</v>
      </c>
    </row>
    <row r="81" spans="1:6" x14ac:dyDescent="0.3">
      <c r="A81" s="21" t="s">
        <v>183</v>
      </c>
      <c r="B81" s="36">
        <f t="shared" ref="B81:D85" si="2">B17/B27</f>
        <v>0.15339525580690966</v>
      </c>
      <c r="C81" s="36">
        <f t="shared" si="2"/>
        <v>0.16542299930011226</v>
      </c>
      <c r="D81" s="36">
        <f t="shared" si="2"/>
        <v>0.19013078567537503</v>
      </c>
      <c r="E81" s="21"/>
      <c r="F81" s="39"/>
    </row>
    <row r="82" spans="1:6" x14ac:dyDescent="0.3">
      <c r="A82" s="21" t="s">
        <v>184</v>
      </c>
      <c r="B82" s="36">
        <f t="shared" si="2"/>
        <v>0.23932895714324434</v>
      </c>
      <c r="C82" s="36">
        <f t="shared" si="2"/>
        <v>0.2701659833301201</v>
      </c>
      <c r="D82" s="36">
        <f t="shared" si="2"/>
        <v>0.29414838314094532</v>
      </c>
      <c r="E82" s="21"/>
      <c r="F82" s="39"/>
    </row>
    <row r="83" spans="1:6" x14ac:dyDescent="0.3">
      <c r="A83" s="21" t="s">
        <v>185</v>
      </c>
      <c r="B83" s="36">
        <f t="shared" si="2"/>
        <v>2.1281293272019851E-2</v>
      </c>
      <c r="C83" s="36">
        <f t="shared" si="2"/>
        <v>2.158151168352139E-2</v>
      </c>
      <c r="D83" s="36">
        <f t="shared" si="2"/>
        <v>2.4259173358457981E-2</v>
      </c>
      <c r="E83" s="21"/>
      <c r="F83" s="39"/>
    </row>
    <row r="84" spans="1:6" x14ac:dyDescent="0.3">
      <c r="A84" s="21" t="s">
        <v>186</v>
      </c>
      <c r="B84" s="36">
        <f t="shared" si="2"/>
        <v>6.6620800333115793E-2</v>
      </c>
      <c r="C84" s="36">
        <f t="shared" si="2"/>
        <v>7.2707250257449993E-2</v>
      </c>
      <c r="D84" s="36">
        <f t="shared" si="2"/>
        <v>8.8705994976909064E-2</v>
      </c>
      <c r="E84" s="21"/>
      <c r="F84" s="39"/>
    </row>
    <row r="85" spans="1:6" x14ac:dyDescent="0.3">
      <c r="A85" s="14" t="s">
        <v>198</v>
      </c>
      <c r="B85" s="26">
        <f t="shared" si="2"/>
        <v>7.1821101382133129E-2</v>
      </c>
      <c r="C85" s="26">
        <f t="shared" si="2"/>
        <v>7.6319965000500575E-2</v>
      </c>
      <c r="D85" s="26">
        <f t="shared" si="2"/>
        <v>8.6321918797104172E-2</v>
      </c>
      <c r="E85" s="21"/>
      <c r="F85" s="39"/>
    </row>
    <row r="86" spans="1:6" ht="27.75" customHeight="1" x14ac:dyDescent="0.3">
      <c r="A86" s="8" t="s">
        <v>206</v>
      </c>
      <c r="B86" s="8"/>
      <c r="C86" s="8"/>
      <c r="D86" s="8"/>
      <c r="E86" s="8"/>
      <c r="F86" s="8"/>
    </row>
    <row r="88" spans="1:6" x14ac:dyDescent="0.3">
      <c r="A88" s="17" t="s">
        <v>207</v>
      </c>
      <c r="B88" s="18"/>
      <c r="C88" s="18"/>
      <c r="D88" s="18"/>
      <c r="E88" s="18"/>
      <c r="F88" s="18"/>
    </row>
    <row r="89" spans="1:6" ht="30" customHeight="1" x14ac:dyDescent="0.3">
      <c r="A89" s="19" t="s">
        <v>181</v>
      </c>
      <c r="B89" s="20" t="s">
        <v>14</v>
      </c>
      <c r="C89" s="20" t="s">
        <v>15</v>
      </c>
      <c r="D89" s="20" t="s">
        <v>11</v>
      </c>
      <c r="E89" s="20"/>
      <c r="F89" s="20" t="s">
        <v>182</v>
      </c>
    </row>
    <row r="90" spans="1:6" x14ac:dyDescent="0.3">
      <c r="A90" s="21" t="s">
        <v>183</v>
      </c>
      <c r="B90" s="32">
        <f t="shared" ref="B90:D94" si="3">B27-B37</f>
        <v>16600.550000000003</v>
      </c>
      <c r="C90" s="32">
        <f t="shared" si="3"/>
        <v>17912.939999999999</v>
      </c>
      <c r="D90" s="32">
        <f t="shared" si="3"/>
        <v>17341.519999999997</v>
      </c>
      <c r="E90" s="21"/>
      <c r="F90" s="39"/>
    </row>
    <row r="91" spans="1:6" x14ac:dyDescent="0.3">
      <c r="A91" s="21" t="s">
        <v>184</v>
      </c>
      <c r="B91" s="32">
        <f t="shared" si="3"/>
        <v>9435.7500000000018</v>
      </c>
      <c r="C91" s="32">
        <f t="shared" si="3"/>
        <v>9001.5399999999991</v>
      </c>
      <c r="D91" s="32">
        <f t="shared" si="3"/>
        <v>7697.73</v>
      </c>
      <c r="E91" s="21"/>
      <c r="F91" s="39"/>
    </row>
    <row r="92" spans="1:6" x14ac:dyDescent="0.3">
      <c r="A92" s="21" t="s">
        <v>185</v>
      </c>
      <c r="B92" s="32">
        <f t="shared" si="3"/>
        <v>16816.849999999991</v>
      </c>
      <c r="C92" s="32">
        <f t="shared" si="3"/>
        <v>16841.960000000006</v>
      </c>
      <c r="D92" s="32">
        <f t="shared" si="3"/>
        <v>24165.410000000003</v>
      </c>
      <c r="E92" s="21"/>
      <c r="F92" s="39"/>
    </row>
    <row r="93" spans="1:6" x14ac:dyDescent="0.3">
      <c r="A93" s="21" t="s">
        <v>186</v>
      </c>
      <c r="B93" s="32">
        <f t="shared" si="3"/>
        <v>19836.089999999997</v>
      </c>
      <c r="C93" s="32">
        <f t="shared" si="3"/>
        <v>21399.33</v>
      </c>
      <c r="D93" s="32">
        <f t="shared" si="3"/>
        <v>23831.469999999998</v>
      </c>
      <c r="E93" s="21"/>
      <c r="F93" s="39"/>
    </row>
    <row r="94" spans="1:6" x14ac:dyDescent="0.3">
      <c r="A94" s="14" t="s">
        <v>198</v>
      </c>
      <c r="B94" s="43">
        <f t="shared" si="3"/>
        <v>62689.239999999991</v>
      </c>
      <c r="C94" s="43">
        <f t="shared" si="3"/>
        <v>65155.76999999999</v>
      </c>
      <c r="D94" s="43">
        <f t="shared" si="3"/>
        <v>73036.13</v>
      </c>
      <c r="E94" s="21"/>
      <c r="F94" s="39"/>
    </row>
    <row r="96" spans="1:6" x14ac:dyDescent="0.3">
      <c r="A96" s="17" t="s">
        <v>208</v>
      </c>
      <c r="B96" s="18"/>
      <c r="C96" s="18"/>
      <c r="D96" s="18"/>
      <c r="E96" s="18"/>
      <c r="F96" s="18"/>
    </row>
    <row r="97" spans="1:6" ht="30" customHeight="1" x14ac:dyDescent="0.3">
      <c r="A97" s="19" t="s">
        <v>181</v>
      </c>
      <c r="B97" s="20" t="s">
        <v>14</v>
      </c>
      <c r="C97" s="20" t="s">
        <v>15</v>
      </c>
      <c r="D97" s="20" t="s">
        <v>11</v>
      </c>
      <c r="E97" s="20"/>
      <c r="F97" s="20" t="s">
        <v>182</v>
      </c>
    </row>
    <row r="98" spans="1:6" x14ac:dyDescent="0.3">
      <c r="A98" s="21" t="s">
        <v>183</v>
      </c>
      <c r="B98" s="36">
        <f t="shared" ref="B98:D102" si="4">B37/B27</f>
        <v>0.57959465657187004</v>
      </c>
      <c r="C98" s="36">
        <f t="shared" si="4"/>
        <v>0.61997431694116589</v>
      </c>
      <c r="D98" s="36">
        <f t="shared" si="4"/>
        <v>0.68246098631717245</v>
      </c>
      <c r="E98" s="21"/>
      <c r="F98" s="39"/>
    </row>
    <row r="99" spans="1:6" x14ac:dyDescent="0.3">
      <c r="A99" s="21" t="s">
        <v>184</v>
      </c>
      <c r="B99" s="36">
        <f t="shared" si="4"/>
        <v>0.47805718843707834</v>
      </c>
      <c r="C99" s="36">
        <f t="shared" si="4"/>
        <v>0.50837235187745056</v>
      </c>
      <c r="D99" s="36">
        <f t="shared" si="4"/>
        <v>0.58957479139452429</v>
      </c>
      <c r="E99" s="21"/>
      <c r="F99" s="39"/>
    </row>
    <row r="100" spans="1:6" x14ac:dyDescent="0.3">
      <c r="A100" s="21" t="s">
        <v>185</v>
      </c>
      <c r="B100" s="36">
        <f t="shared" si="4"/>
        <v>0.86004946122681392</v>
      </c>
      <c r="C100" s="36">
        <f t="shared" si="4"/>
        <v>0.8789232062033564</v>
      </c>
      <c r="D100" s="36">
        <f t="shared" si="4"/>
        <v>0.84485160354206157</v>
      </c>
      <c r="E100" s="21"/>
      <c r="F100" s="39"/>
    </row>
    <row r="101" spans="1:6" x14ac:dyDescent="0.3">
      <c r="A101" s="21" t="s">
        <v>186</v>
      </c>
      <c r="B101" s="36">
        <f t="shared" si="4"/>
        <v>0.41503939973099491</v>
      </c>
      <c r="C101" s="36">
        <f t="shared" si="4"/>
        <v>0.42746090492369604</v>
      </c>
      <c r="D101" s="36">
        <f t="shared" si="4"/>
        <v>0.42936580663374613</v>
      </c>
      <c r="E101" s="21"/>
      <c r="F101" s="39"/>
    </row>
    <row r="102" spans="1:6" x14ac:dyDescent="0.3">
      <c r="A102" s="14" t="s">
        <v>198</v>
      </c>
      <c r="B102" s="26">
        <f t="shared" si="4"/>
        <v>0.70379035757648156</v>
      </c>
      <c r="C102" s="26">
        <f t="shared" si="4"/>
        <v>0.73067609896121699</v>
      </c>
      <c r="D102" s="26">
        <f t="shared" si="4"/>
        <v>0.73038218836349222</v>
      </c>
      <c r="E102" s="21"/>
      <c r="F102" s="39"/>
    </row>
    <row r="103" spans="1:6" ht="27.75" customHeight="1" x14ac:dyDescent="0.3">
      <c r="A103" s="8" t="s">
        <v>209</v>
      </c>
      <c r="B103" s="8"/>
      <c r="C103" s="8"/>
      <c r="D103" s="8"/>
      <c r="E103" s="8"/>
      <c r="F103" s="8"/>
    </row>
    <row r="105" spans="1:6" x14ac:dyDescent="0.3">
      <c r="A105" s="17" t="s">
        <v>210</v>
      </c>
      <c r="B105" s="18"/>
      <c r="C105" s="18"/>
      <c r="D105" s="18"/>
      <c r="E105" s="18"/>
      <c r="F105" s="18"/>
    </row>
    <row r="106" spans="1:6" ht="30" customHeight="1" x14ac:dyDescent="0.3">
      <c r="A106" s="19" t="s">
        <v>181</v>
      </c>
      <c r="B106" s="20" t="s">
        <v>14</v>
      </c>
      <c r="C106" s="20" t="s">
        <v>15</v>
      </c>
      <c r="D106" s="20" t="s">
        <v>11</v>
      </c>
      <c r="E106" s="20"/>
      <c r="F106" s="20" t="s">
        <v>182</v>
      </c>
    </row>
    <row r="107" spans="1:6" x14ac:dyDescent="0.3">
      <c r="A107" s="21" t="s">
        <v>183</v>
      </c>
      <c r="B107" s="36">
        <f>B27/B31</f>
        <v>0.18657800146363077</v>
      </c>
      <c r="C107" s="36">
        <f>C27/C31</f>
        <v>0.19483902057287045</v>
      </c>
      <c r="D107" s="36">
        <f>D27/D31</f>
        <v>0.20160481303631325</v>
      </c>
      <c r="E107" s="21"/>
      <c r="F107" s="39"/>
    </row>
    <row r="108" spans="1:6" x14ac:dyDescent="0.3">
      <c r="A108" s="21" t="s">
        <v>184</v>
      </c>
      <c r="B108" s="36">
        <f>B28/B31</f>
        <v>8.5420024600487782E-2</v>
      </c>
      <c r="C108" s="36">
        <f>C28/C31</f>
        <v>7.568373071383816E-2</v>
      </c>
      <c r="D108" s="36">
        <f>D28/D31</f>
        <v>6.9237196249972724E-2</v>
      </c>
      <c r="E108" s="21"/>
      <c r="F108" s="39"/>
    </row>
    <row r="109" spans="1:6" x14ac:dyDescent="0.3">
      <c r="A109" s="21" t="s">
        <v>185</v>
      </c>
      <c r="B109" s="36">
        <f>B29/B31</f>
        <v>0.56777499587975855</v>
      </c>
      <c r="C109" s="36">
        <f>C29/C31</f>
        <v>0.57498131847155298</v>
      </c>
      <c r="D109" s="36">
        <f>D29/D31</f>
        <v>0.57498657284572208</v>
      </c>
      <c r="E109" s="21"/>
      <c r="F109" s="39"/>
    </row>
    <row r="110" spans="1:6" x14ac:dyDescent="0.3">
      <c r="A110" s="21" t="s">
        <v>186</v>
      </c>
      <c r="B110" s="36">
        <f>B30/B31</f>
        <v>0.16022697805612299</v>
      </c>
      <c r="C110" s="36">
        <f>C30/C31</f>
        <v>0.15449593024173847</v>
      </c>
      <c r="D110" s="36">
        <f>D30/D31</f>
        <v>0.15417141786799196</v>
      </c>
      <c r="E110" s="21"/>
      <c r="F110" s="39"/>
    </row>
    <row r="111" spans="1:6" x14ac:dyDescent="0.3">
      <c r="A111" s="14" t="s">
        <v>201</v>
      </c>
      <c r="B111" s="26">
        <f>SUM(B107:B110)</f>
        <v>1</v>
      </c>
      <c r="C111" s="26">
        <f>SUM(C107:C110)</f>
        <v>1</v>
      </c>
      <c r="D111" s="26">
        <f>SUM(D107:D110)</f>
        <v>1</v>
      </c>
      <c r="E111" s="21"/>
      <c r="F111" s="39"/>
    </row>
    <row r="112" spans="1:6" ht="27.75" customHeight="1" x14ac:dyDescent="0.3">
      <c r="A112" s="8" t="s">
        <v>211</v>
      </c>
      <c r="B112" s="8"/>
      <c r="C112" s="8"/>
      <c r="D112" s="8"/>
      <c r="E112" s="8"/>
      <c r="F112" s="8"/>
    </row>
    <row r="114" spans="1:6" x14ac:dyDescent="0.3">
      <c r="A114" s="17" t="s">
        <v>212</v>
      </c>
      <c r="B114" s="18"/>
      <c r="C114" s="18"/>
      <c r="D114" s="18"/>
      <c r="E114" s="18"/>
      <c r="F114" s="18"/>
    </row>
    <row r="115" spans="1:6" ht="30" customHeight="1" x14ac:dyDescent="0.3">
      <c r="A115" s="19" t="s">
        <v>213</v>
      </c>
      <c r="B115" s="20" t="s">
        <v>14</v>
      </c>
      <c r="C115" s="20" t="s">
        <v>15</v>
      </c>
      <c r="D115" s="20" t="s">
        <v>11</v>
      </c>
      <c r="E115" s="20" t="s">
        <v>73</v>
      </c>
      <c r="F115" s="20" t="s">
        <v>182</v>
      </c>
    </row>
    <row r="116" spans="1:6" x14ac:dyDescent="0.3">
      <c r="A116" s="21" t="s">
        <v>214</v>
      </c>
      <c r="B116" s="44">
        <f>'Financial Inputs'!$C$6</f>
        <v>139078.26999999999</v>
      </c>
      <c r="C116" s="44">
        <f>'Financial Inputs'!$D$6</f>
        <v>159210.82</v>
      </c>
      <c r="D116" s="44">
        <f>'Financial Inputs'!$E$6</f>
        <v>197792.78</v>
      </c>
      <c r="E116" s="24" t="s">
        <v>77</v>
      </c>
      <c r="F116" s="39"/>
    </row>
    <row r="117" spans="1:6" x14ac:dyDescent="0.3">
      <c r="A117" s="21" t="s">
        <v>215</v>
      </c>
      <c r="B117" s="32">
        <f>B11</f>
        <v>139078.26999999999</v>
      </c>
      <c r="C117" s="32">
        <f>C11</f>
        <v>159210.82</v>
      </c>
      <c r="D117" s="32">
        <f>D11</f>
        <v>198638.55</v>
      </c>
      <c r="E117" s="24" t="s">
        <v>77</v>
      </c>
      <c r="F117" s="39"/>
    </row>
    <row r="118" spans="1:6" ht="34.200000000000003" x14ac:dyDescent="0.3">
      <c r="A118" s="14" t="s">
        <v>216</v>
      </c>
      <c r="B118" s="43">
        <f>B117-B116</f>
        <v>0</v>
      </c>
      <c r="C118" s="43">
        <f>C117-C116</f>
        <v>0</v>
      </c>
      <c r="D118" s="43">
        <f>D117-D116</f>
        <v>845.76999999998952</v>
      </c>
      <c r="E118" s="24" t="s">
        <v>77</v>
      </c>
      <c r="F118" s="28" t="s">
        <v>217</v>
      </c>
    </row>
    <row r="119" spans="1:6" x14ac:dyDescent="0.3">
      <c r="A119" s="21" t="s">
        <v>218</v>
      </c>
      <c r="B119" s="24" t="str">
        <f>IF(ABS(B118)&lt;=0.02,"OK","FLAG")</f>
        <v>OK</v>
      </c>
      <c r="C119" s="24" t="str">
        <f>IF(ABS(C118)&lt;=0.02,"OK","FLAG")</f>
        <v>OK</v>
      </c>
      <c r="D119" s="24" t="str">
        <f>IF(ABS(D118)&lt;=0.02,"OK","FLAG")</f>
        <v>FLAG</v>
      </c>
      <c r="E119" s="21"/>
      <c r="F119" s="39"/>
    </row>
    <row r="120" spans="1:6" x14ac:dyDescent="0.3">
      <c r="A120" s="21" t="s">
        <v>219</v>
      </c>
      <c r="B120" s="44">
        <f>'Financial Inputs'!$C$19</f>
        <v>236300.73</v>
      </c>
      <c r="C120" s="44">
        <f>'Financial Inputs'!$D$19</f>
        <v>277586.27</v>
      </c>
      <c r="D120" s="44">
        <f>'Financial Inputs'!$E$19</f>
        <v>317634.64</v>
      </c>
      <c r="E120" s="24" t="s">
        <v>77</v>
      </c>
      <c r="F120" s="39"/>
    </row>
    <row r="121" spans="1:6" x14ac:dyDescent="0.3">
      <c r="A121" s="21" t="s">
        <v>220</v>
      </c>
      <c r="B121" s="32">
        <f>B31</f>
        <v>211638.08</v>
      </c>
      <c r="C121" s="32">
        <f>C31</f>
        <v>241923.46</v>
      </c>
      <c r="D121" s="32">
        <f>D31</f>
        <v>270887.63</v>
      </c>
      <c r="E121" s="24" t="s">
        <v>77</v>
      </c>
      <c r="F121" s="39"/>
    </row>
    <row r="122" spans="1:6" ht="22.8" x14ac:dyDescent="0.3">
      <c r="A122" s="14" t="s">
        <v>221</v>
      </c>
      <c r="B122" s="43">
        <f>B120-B121</f>
        <v>24662.650000000023</v>
      </c>
      <c r="C122" s="43">
        <f>C120-C121</f>
        <v>35662.810000000027</v>
      </c>
      <c r="D122" s="43">
        <f>D120-D121</f>
        <v>46747.010000000009</v>
      </c>
      <c r="E122" s="24" t="s">
        <v>77</v>
      </c>
      <c r="F122" s="28" t="s">
        <v>222</v>
      </c>
    </row>
    <row r="123" spans="1:6" x14ac:dyDescent="0.3">
      <c r="A123" s="45" t="s">
        <v>223</v>
      </c>
    </row>
    <row r="125" spans="1:6" x14ac:dyDescent="0.3">
      <c r="A125" s="17" t="s">
        <v>224</v>
      </c>
      <c r="B125" s="18"/>
      <c r="C125" s="18"/>
      <c r="D125" s="18"/>
      <c r="E125" s="18"/>
      <c r="F125" s="18"/>
    </row>
    <row r="126" spans="1:6" ht="27.75" customHeight="1" x14ac:dyDescent="0.3">
      <c r="A126" s="1" t="str">
        <f>"Financial Services = "&amp;TEXT(D29/D31,"0.0%")&amp;" of FY2026 segment assets and "&amp;TEXT(D39/D41,"0.0%")&amp;" of segment liabilities: consolidated leverage metrics are heavily influenced by the captive finance book, which is matched by loan assets."</f>
        <v>Financial Services = 57.5% of FY2026 segment assets and 66.5% of segment liabilities: consolidated leverage metrics are heavily influenced by the captive finance book, which is matched by loan assets.</v>
      </c>
      <c r="B126" s="1"/>
      <c r="C126" s="1"/>
      <c r="D126" s="1"/>
      <c r="E126" s="1"/>
      <c r="F126" s="1"/>
    </row>
    <row r="127" spans="1:6" ht="27.75" customHeight="1" x14ac:dyDescent="0.3">
      <c r="A127" s="1" t="str">
        <f>"All four segments reported higher segment results in FY2026 than FY2025 (total ₹"&amp;TEXT(D21,"#,##0.00")&amp;" crore vs ₹"&amp;TEXT(C21,"#,##0.00")&amp;" crore)."</f>
        <v>All four segments reported higher segment results in FY2026 than FY2025 (total ₹23,383.54 crore vs ₹18,463.59 crore).</v>
      </c>
      <c r="B127" s="1"/>
      <c r="C127" s="1"/>
      <c r="D127" s="1"/>
      <c r="E127" s="1"/>
      <c r="F127" s="1"/>
    </row>
    <row r="128" spans="1:6" ht="27.75" customHeight="1" x14ac:dyDescent="0.3">
      <c r="A128" s="1" t="str">
        <f>"Automotive generated "&amp;TEXT(D7/D11,"0.0%")&amp;" of FY2026 segment external revenue and "&amp;TEXT(D17/D21,"0.0%")&amp;" of segment result – automotive competition is therefore the largest single operating exposure."</f>
        <v>Automotive generated 59.1% of FY2026 segment external revenue and 44.4% of segment result – automotive competition is therefore the largest single operating exposure.</v>
      </c>
      <c r="B128" s="1"/>
      <c r="C128" s="1"/>
      <c r="D128" s="1"/>
      <c r="E128" s="1"/>
      <c r="F128" s="1"/>
    </row>
    <row r="129" spans="1:6" ht="27.75" customHeight="1" x14ac:dyDescent="0.3">
      <c r="A129" s="1" t="str">
        <f>"Farm Equipment (segment result margin on external revenue "&amp;TEXT(D18/D8,"0.0%")&amp;" in FY2026) adds diversification away from automotive."</f>
        <v>Farm Equipment (segment result margin on external revenue 13.0% in FY2026) adds diversification away from automotive.</v>
      </c>
      <c r="B129" s="1"/>
      <c r="C129" s="1"/>
      <c r="D129" s="1"/>
      <c r="E129" s="1"/>
      <c r="F129" s="1"/>
    </row>
  </sheetData>
  <mergeCells count="9">
    <mergeCell ref="A126:F126"/>
    <mergeCell ref="A127:F127"/>
    <mergeCell ref="A128:F128"/>
    <mergeCell ref="A129:F129"/>
    <mergeCell ref="A52:F52"/>
    <mergeCell ref="A69:F69"/>
    <mergeCell ref="A86:F86"/>
    <mergeCell ref="A103:F103"/>
    <mergeCell ref="A112:F112"/>
  </mergeCells>
  <conditionalFormatting sqref="B13:D13">
    <cfRule type="expression" dxfId="14" priority="2">
      <formula>ABS(B13)&gt;0.02</formula>
    </cfRule>
  </conditionalFormatting>
  <conditionalFormatting sqref="B23:D23">
    <cfRule type="expression" dxfId="13" priority="3">
      <formula>ABS(B23)&gt;0.02</formula>
    </cfRule>
  </conditionalFormatting>
  <conditionalFormatting sqref="B33:D33">
    <cfRule type="expression" dxfId="12" priority="4">
      <formula>ABS(B33)&gt;0.02</formula>
    </cfRule>
  </conditionalFormatting>
  <conditionalFormatting sqref="B43:D43">
    <cfRule type="expression" dxfId="11" priority="5">
      <formula>ABS(B43)&gt;0.02</formula>
    </cfRule>
  </conditionalFormatting>
  <conditionalFormatting sqref="B119:D119">
    <cfRule type="cellIs" dxfId="10" priority="6" operator="equal">
      <formula>"FLAG"</formula>
    </cfRule>
    <cfRule type="cellIs" dxfId="9" priority="7" operator="equal">
      <formula>"OK"</formula>
    </cfRule>
  </conditionalFormatting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  <pageSetUpPr fitToPage="1"/>
  </sheetPr>
  <dimension ref="A1:F44"/>
  <sheetViews>
    <sheetView showGridLines="0" zoomScaleNormal="100" workbookViewId="0">
      <pane xSplit="1" ySplit="5" topLeftCell="T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62" customWidth="1"/>
    <col min="2" max="4" width="15" customWidth="1"/>
    <col min="5" max="5" width="10" customWidth="1"/>
    <col min="6" max="6" width="78" customWidth="1"/>
  </cols>
  <sheetData>
    <row r="1" spans="1:6" ht="21" x14ac:dyDescent="0.4">
      <c r="A1" s="11" t="s">
        <v>225</v>
      </c>
    </row>
    <row r="2" spans="1:6" x14ac:dyDescent="0.3">
      <c r="A2" s="12" t="s">
        <v>226</v>
      </c>
    </row>
    <row r="3" spans="1:6" x14ac:dyDescent="0.3">
      <c r="A3" s="29" t="s">
        <v>70</v>
      </c>
    </row>
    <row r="5" spans="1:6" ht="30" customHeight="1" x14ac:dyDescent="0.3">
      <c r="A5" s="19" t="s">
        <v>72</v>
      </c>
      <c r="B5" s="20" t="s">
        <v>14</v>
      </c>
      <c r="C5" s="20" t="s">
        <v>15</v>
      </c>
      <c r="D5" s="20" t="s">
        <v>11</v>
      </c>
      <c r="E5" s="20" t="s">
        <v>73</v>
      </c>
      <c r="F5" s="20" t="s">
        <v>182</v>
      </c>
    </row>
    <row r="6" spans="1:6" x14ac:dyDescent="0.3">
      <c r="A6" s="17" t="s">
        <v>227</v>
      </c>
      <c r="B6" s="18"/>
      <c r="C6" s="18"/>
      <c r="D6" s="18"/>
      <c r="E6" s="18"/>
      <c r="F6" s="18"/>
    </row>
    <row r="7" spans="1:6" x14ac:dyDescent="0.3">
      <c r="A7" s="21" t="s">
        <v>228</v>
      </c>
      <c r="B7" s="31" t="s">
        <v>86</v>
      </c>
      <c r="C7" s="30">
        <v>112346.83</v>
      </c>
      <c r="D7" s="30">
        <v>128694.12</v>
      </c>
      <c r="E7" s="24" t="s">
        <v>77</v>
      </c>
      <c r="F7" s="28" t="s">
        <v>108</v>
      </c>
    </row>
    <row r="8" spans="1:6" x14ac:dyDescent="0.3">
      <c r="A8" s="21" t="s">
        <v>229</v>
      </c>
      <c r="B8" s="31" t="s">
        <v>86</v>
      </c>
      <c r="C8" s="30">
        <v>6981.83</v>
      </c>
      <c r="D8" s="30">
        <v>6757.4</v>
      </c>
      <c r="E8" s="24" t="s">
        <v>77</v>
      </c>
      <c r="F8" s="28" t="s">
        <v>108</v>
      </c>
    </row>
    <row r="9" spans="1:6" x14ac:dyDescent="0.3">
      <c r="A9" s="21" t="s">
        <v>230</v>
      </c>
      <c r="B9" s="30">
        <v>4146.74</v>
      </c>
      <c r="C9" s="30">
        <v>5059.32</v>
      </c>
      <c r="D9" s="30">
        <v>4789.8999999999996</v>
      </c>
      <c r="E9" s="24" t="s">
        <v>77</v>
      </c>
      <c r="F9" s="28"/>
    </row>
    <row r="10" spans="1:6" x14ac:dyDescent="0.3">
      <c r="A10" s="21" t="s">
        <v>231</v>
      </c>
      <c r="B10" s="30">
        <v>107144.79</v>
      </c>
      <c r="C10" s="30">
        <v>124387.98</v>
      </c>
      <c r="D10" s="30">
        <v>140241.42000000001</v>
      </c>
      <c r="E10" s="24" t="s">
        <v>77</v>
      </c>
      <c r="F10" s="28"/>
    </row>
    <row r="11" spans="1:6" x14ac:dyDescent="0.3">
      <c r="A11" s="17" t="s">
        <v>232</v>
      </c>
      <c r="B11" s="18"/>
      <c r="C11" s="18"/>
      <c r="D11" s="18"/>
      <c r="E11" s="18"/>
      <c r="F11" s="18"/>
    </row>
    <row r="12" spans="1:6" x14ac:dyDescent="0.3">
      <c r="A12" s="21" t="s">
        <v>233</v>
      </c>
      <c r="B12" s="30">
        <v>1738.89</v>
      </c>
      <c r="C12" s="30">
        <v>2249.7399999999998</v>
      </c>
      <c r="D12" s="30">
        <v>1965.13</v>
      </c>
      <c r="E12" s="24" t="s">
        <v>77</v>
      </c>
      <c r="F12" s="28"/>
    </row>
    <row r="13" spans="1:6" x14ac:dyDescent="0.3">
      <c r="A13" s="21" t="s">
        <v>234</v>
      </c>
      <c r="B13" s="30">
        <v>103482.28</v>
      </c>
      <c r="C13" s="30">
        <v>120338.24000000001</v>
      </c>
      <c r="D13" s="30">
        <v>136113.88</v>
      </c>
      <c r="E13" s="24" t="s">
        <v>77</v>
      </c>
      <c r="F13" s="28"/>
    </row>
    <row r="14" spans="1:6" x14ac:dyDescent="0.3">
      <c r="A14" s="17" t="s">
        <v>235</v>
      </c>
      <c r="B14" s="18"/>
      <c r="C14" s="18"/>
      <c r="D14" s="18"/>
      <c r="E14" s="18"/>
      <c r="F14" s="18"/>
    </row>
    <row r="15" spans="1:6" x14ac:dyDescent="0.3">
      <c r="A15" s="21" t="s">
        <v>236</v>
      </c>
      <c r="B15" s="41" t="s">
        <v>86</v>
      </c>
      <c r="C15" s="46">
        <v>5.1999999999999998E-3</v>
      </c>
      <c r="D15" s="46">
        <v>5.8999999999999999E-3</v>
      </c>
      <c r="E15" s="24" t="s">
        <v>237</v>
      </c>
      <c r="F15" s="28" t="s">
        <v>108</v>
      </c>
    </row>
    <row r="16" spans="1:6" x14ac:dyDescent="0.3">
      <c r="A16" s="21" t="s">
        <v>238</v>
      </c>
      <c r="B16" s="41" t="s">
        <v>86</v>
      </c>
      <c r="C16" s="46">
        <v>9.3200000000000005E-2</v>
      </c>
      <c r="D16" s="46">
        <v>8.0299999999999996E-2</v>
      </c>
      <c r="E16" s="24" t="s">
        <v>237</v>
      </c>
      <c r="F16" s="28" t="s">
        <v>108</v>
      </c>
    </row>
    <row r="17" spans="1:6" x14ac:dyDescent="0.3">
      <c r="A17" s="21" t="s">
        <v>239</v>
      </c>
      <c r="B17" s="46">
        <v>0.58069999999999999</v>
      </c>
      <c r="C17" s="46">
        <v>0.55530000000000002</v>
      </c>
      <c r="D17" s="46">
        <v>0.5897</v>
      </c>
      <c r="E17" s="24" t="s">
        <v>237</v>
      </c>
      <c r="F17" s="28"/>
    </row>
    <row r="18" spans="1:6" x14ac:dyDescent="0.3">
      <c r="A18" s="17" t="s">
        <v>240</v>
      </c>
      <c r="B18" s="18"/>
      <c r="C18" s="18"/>
      <c r="D18" s="18"/>
      <c r="E18" s="18"/>
      <c r="F18" s="18"/>
    </row>
    <row r="19" spans="1:6" x14ac:dyDescent="0.3">
      <c r="A19" s="27" t="s">
        <v>241</v>
      </c>
      <c r="B19" s="26">
        <f>B9/B10</f>
        <v>3.870220847882571E-2</v>
      </c>
      <c r="C19" s="26">
        <f>C9/C10</f>
        <v>4.0673704967312756E-2</v>
      </c>
      <c r="D19" s="26">
        <f>D9/D10</f>
        <v>3.4154674132649249E-2</v>
      </c>
      <c r="E19" s="24" t="s">
        <v>237</v>
      </c>
      <c r="F19" s="28" t="s">
        <v>242</v>
      </c>
    </row>
    <row r="20" spans="1:6" x14ac:dyDescent="0.3">
      <c r="A20" s="27" t="s">
        <v>243</v>
      </c>
      <c r="B20" s="26">
        <f>B12/B13</f>
        <v>1.6803746496501626E-2</v>
      </c>
      <c r="C20" s="26">
        <f>C12/C13</f>
        <v>1.8695137971105443E-2</v>
      </c>
      <c r="D20" s="26">
        <f>D12/D13</f>
        <v>1.443739609803203E-2</v>
      </c>
      <c r="E20" s="24" t="s">
        <v>237</v>
      </c>
      <c r="F20" s="28" t="s">
        <v>244</v>
      </c>
    </row>
    <row r="21" spans="1:6" x14ac:dyDescent="0.3">
      <c r="A21" s="34" t="s">
        <v>245</v>
      </c>
      <c r="B21" s="41" t="s">
        <v>128</v>
      </c>
      <c r="C21" s="36">
        <f>C7/C10</f>
        <v>0.90319683622163494</v>
      </c>
      <c r="D21" s="36">
        <f>D7/D10</f>
        <v>0.91766127296771516</v>
      </c>
      <c r="E21" s="24" t="s">
        <v>237</v>
      </c>
      <c r="F21" s="28" t="s">
        <v>246</v>
      </c>
    </row>
    <row r="22" spans="1:6" x14ac:dyDescent="0.3">
      <c r="A22" s="34" t="s">
        <v>247</v>
      </c>
      <c r="B22" s="41" t="s">
        <v>128</v>
      </c>
      <c r="C22" s="36">
        <f>C8/C10</f>
        <v>5.6129458811052323E-2</v>
      </c>
      <c r="D22" s="36">
        <f>D8/D10</f>
        <v>4.8184052899635496E-2</v>
      </c>
      <c r="E22" s="24" t="s">
        <v>237</v>
      </c>
      <c r="F22" s="28" t="s">
        <v>248</v>
      </c>
    </row>
    <row r="23" spans="1:6" x14ac:dyDescent="0.3">
      <c r="A23" s="34" t="s">
        <v>249</v>
      </c>
      <c r="B23" s="41" t="s">
        <v>128</v>
      </c>
      <c r="C23" s="36">
        <f>(C8+C9)/C10</f>
        <v>9.6803163778365078E-2</v>
      </c>
      <c r="D23" s="36">
        <f>(D8+D9)/D10</f>
        <v>8.2338727032284745E-2</v>
      </c>
      <c r="E23" s="24" t="s">
        <v>237</v>
      </c>
      <c r="F23" s="28" t="s">
        <v>250</v>
      </c>
    </row>
    <row r="24" spans="1:6" x14ac:dyDescent="0.3">
      <c r="A24" s="34" t="s">
        <v>251</v>
      </c>
      <c r="B24" s="41" t="s">
        <v>128</v>
      </c>
      <c r="C24" s="36">
        <f>C10/B10-1</f>
        <v>0.1609335367589968</v>
      </c>
      <c r="D24" s="36">
        <f>D10/C10-1</f>
        <v>0.12745154314749718</v>
      </c>
      <c r="E24" s="24" t="s">
        <v>237</v>
      </c>
      <c r="F24" s="28" t="s">
        <v>252</v>
      </c>
    </row>
    <row r="25" spans="1:6" x14ac:dyDescent="0.3">
      <c r="A25" s="34" t="s">
        <v>253</v>
      </c>
      <c r="B25" s="41" t="s">
        <v>128</v>
      </c>
      <c r="C25" s="36">
        <f>C13/B13-1</f>
        <v>0.16288740449089456</v>
      </c>
      <c r="D25" s="36">
        <f>D13/C13-1</f>
        <v>0.13109415593912632</v>
      </c>
      <c r="E25" s="24" t="s">
        <v>237</v>
      </c>
      <c r="F25" s="28"/>
    </row>
    <row r="26" spans="1:6" x14ac:dyDescent="0.3">
      <c r="A26" s="34" t="s">
        <v>254</v>
      </c>
      <c r="B26" s="41" t="s">
        <v>128</v>
      </c>
      <c r="C26" s="36">
        <f>C9/B9-1</f>
        <v>0.22007167075823419</v>
      </c>
      <c r="D26" s="36">
        <f>D9/C9-1</f>
        <v>-5.3252215712783602E-2</v>
      </c>
      <c r="E26" s="24" t="s">
        <v>237</v>
      </c>
      <c r="F26" s="28" t="s">
        <v>255</v>
      </c>
    </row>
    <row r="27" spans="1:6" x14ac:dyDescent="0.3">
      <c r="A27" s="17" t="s">
        <v>256</v>
      </c>
      <c r="B27" s="18"/>
      <c r="C27" s="18"/>
      <c r="D27" s="18"/>
      <c r="E27" s="18"/>
      <c r="F27" s="18"/>
    </row>
    <row r="28" spans="1:6" x14ac:dyDescent="0.3">
      <c r="A28" s="34" t="s">
        <v>257</v>
      </c>
      <c r="B28" s="32">
        <f>B10-B13</f>
        <v>3662.5099999999948</v>
      </c>
      <c r="C28" s="32">
        <f>C10-C13</f>
        <v>4049.7399999999907</v>
      </c>
      <c r="D28" s="32">
        <f>D10-D13</f>
        <v>4127.5400000000081</v>
      </c>
      <c r="E28" s="24" t="s">
        <v>77</v>
      </c>
      <c r="F28" s="28" t="s">
        <v>258</v>
      </c>
    </row>
    <row r="29" spans="1:6" x14ac:dyDescent="0.3">
      <c r="A29" s="34" t="s">
        <v>259</v>
      </c>
      <c r="B29" s="36">
        <f>B28/B10</f>
        <v>3.4182810008774059E-2</v>
      </c>
      <c r="C29" s="36">
        <f>C28/C10</f>
        <v>3.2557325876664212E-2</v>
      </c>
      <c r="D29" s="36">
        <f>D28/D10</f>
        <v>2.9431675748862268E-2</v>
      </c>
      <c r="E29" s="24" t="s">
        <v>237</v>
      </c>
      <c r="F29" s="28" t="s">
        <v>260</v>
      </c>
    </row>
    <row r="30" spans="1:6" x14ac:dyDescent="0.3">
      <c r="A30" s="34" t="s">
        <v>261</v>
      </c>
      <c r="B30" s="32">
        <f>B9-B12</f>
        <v>2407.8499999999995</v>
      </c>
      <c r="C30" s="32">
        <f>C9-C12</f>
        <v>2809.58</v>
      </c>
      <c r="D30" s="32">
        <f>D9-D12</f>
        <v>2824.7699999999995</v>
      </c>
      <c r="E30" s="24" t="s">
        <v>77</v>
      </c>
      <c r="F30" s="28"/>
    </row>
    <row r="31" spans="1:6" x14ac:dyDescent="0.3">
      <c r="A31" s="34" t="s">
        <v>262</v>
      </c>
      <c r="B31" s="36">
        <f>B30/B9</f>
        <v>0.58066095294134656</v>
      </c>
      <c r="C31" s="36">
        <f>C30/C9</f>
        <v>0.55532759343152838</v>
      </c>
      <c r="D31" s="36">
        <f>D30/D9</f>
        <v>0.58973464999269287</v>
      </c>
      <c r="E31" s="24" t="s">
        <v>237</v>
      </c>
      <c r="F31" s="28" t="s">
        <v>263</v>
      </c>
    </row>
    <row r="32" spans="1:6" x14ac:dyDescent="0.3">
      <c r="A32" s="34" t="s">
        <v>264</v>
      </c>
      <c r="B32" s="47">
        <f>(B31-B17)*100</f>
        <v>-3.9047058653429723E-3</v>
      </c>
      <c r="C32" s="47">
        <f>(C31-C17)*100</f>
        <v>2.7593431528361023E-3</v>
      </c>
      <c r="D32" s="47">
        <f>(D31-D17)*100</f>
        <v>3.4649992692870057E-3</v>
      </c>
      <c r="E32" s="24" t="s">
        <v>265</v>
      </c>
      <c r="F32" s="28" t="s">
        <v>266</v>
      </c>
    </row>
    <row r="33" spans="1:6" x14ac:dyDescent="0.3">
      <c r="A33" s="34" t="s">
        <v>267</v>
      </c>
      <c r="B33" s="32">
        <f>B28-B30</f>
        <v>1254.6599999999953</v>
      </c>
      <c r="C33" s="32">
        <f>C28-C30</f>
        <v>1240.1599999999908</v>
      </c>
      <c r="D33" s="32">
        <f>D28-D30</f>
        <v>1302.7700000000086</v>
      </c>
      <c r="E33" s="24" t="s">
        <v>77</v>
      </c>
      <c r="F33" s="28"/>
    </row>
    <row r="34" spans="1:6" x14ac:dyDescent="0.3">
      <c r="A34" s="34" t="s">
        <v>268</v>
      </c>
      <c r="B34" s="31" t="s">
        <v>128</v>
      </c>
      <c r="C34" s="32">
        <f>C7*C15+C8*C16</f>
        <v>1234.9100720000001</v>
      </c>
      <c r="D34" s="32">
        <f>D7*D15+D8*D16</f>
        <v>1301.9145279999998</v>
      </c>
      <c r="E34" s="24" t="s">
        <v>77</v>
      </c>
      <c r="F34" s="28" t="s">
        <v>269</v>
      </c>
    </row>
    <row r="35" spans="1:6" x14ac:dyDescent="0.3">
      <c r="A35" s="34" t="s">
        <v>270</v>
      </c>
      <c r="B35" s="31" t="s">
        <v>128</v>
      </c>
      <c r="C35" s="32">
        <f>C33-C34</f>
        <v>5.2499279999906321</v>
      </c>
      <c r="D35" s="32">
        <f>D33-D34</f>
        <v>0.85547200000883095</v>
      </c>
      <c r="E35" s="24" t="s">
        <v>77</v>
      </c>
      <c r="F35" s="28" t="s">
        <v>271</v>
      </c>
    </row>
    <row r="36" spans="1:6" x14ac:dyDescent="0.3">
      <c r="A36" s="34" t="s">
        <v>272</v>
      </c>
      <c r="B36" s="31" t="s">
        <v>128</v>
      </c>
      <c r="C36" s="32">
        <f>C7+C8+C9-C10</f>
        <v>0</v>
      </c>
      <c r="D36" s="32">
        <f>D7+D8+D9-D10</f>
        <v>0</v>
      </c>
      <c r="E36" s="24" t="s">
        <v>77</v>
      </c>
      <c r="F36" s="28" t="s">
        <v>273</v>
      </c>
    </row>
    <row r="37" spans="1:6" x14ac:dyDescent="0.3">
      <c r="A37" s="17" t="s">
        <v>274</v>
      </c>
      <c r="B37" s="18"/>
      <c r="C37" s="18"/>
      <c r="D37" s="18"/>
      <c r="E37" s="18"/>
      <c r="F37" s="18"/>
    </row>
    <row r="38" spans="1:6" x14ac:dyDescent="0.3">
      <c r="A38" s="21" t="s">
        <v>275</v>
      </c>
      <c r="B38" s="46">
        <v>3.8699999999999998E-2</v>
      </c>
      <c r="C38" s="46">
        <v>4.07E-2</v>
      </c>
      <c r="D38" s="46">
        <v>3.4200000000000001E-2</v>
      </c>
      <c r="E38" s="24" t="s">
        <v>237</v>
      </c>
      <c r="F38" s="28" t="s">
        <v>276</v>
      </c>
    </row>
    <row r="39" spans="1:6" x14ac:dyDescent="0.3">
      <c r="A39" s="21" t="s">
        <v>277</v>
      </c>
      <c r="B39" s="46">
        <v>1.6799999999999999E-2</v>
      </c>
      <c r="C39" s="46">
        <v>1.8700000000000001E-2</v>
      </c>
      <c r="D39" s="46">
        <v>1.44E-2</v>
      </c>
      <c r="E39" s="24" t="s">
        <v>237</v>
      </c>
      <c r="F39" s="28" t="s">
        <v>276</v>
      </c>
    </row>
    <row r="40" spans="1:6" x14ac:dyDescent="0.3">
      <c r="A40" s="34" t="s">
        <v>278</v>
      </c>
      <c r="B40" s="47">
        <f t="shared" ref="B40:D41" si="0">(B19-B38)*100</f>
        <v>2.2084788257117904E-4</v>
      </c>
      <c r="C40" s="47">
        <f t="shared" si="0"/>
        <v>-2.6295032687244368E-3</v>
      </c>
      <c r="D40" s="47">
        <f t="shared" si="0"/>
        <v>-4.5325867350752558E-3</v>
      </c>
      <c r="E40" s="24" t="s">
        <v>265</v>
      </c>
      <c r="F40" s="28" t="s">
        <v>279</v>
      </c>
    </row>
    <row r="41" spans="1:6" x14ac:dyDescent="0.3">
      <c r="A41" s="34" t="s">
        <v>280</v>
      </c>
      <c r="B41" s="47">
        <f t="shared" si="0"/>
        <v>3.7464965016269225E-4</v>
      </c>
      <c r="C41" s="47">
        <f t="shared" si="0"/>
        <v>-4.8620288945581958E-4</v>
      </c>
      <c r="D41" s="47">
        <f t="shared" si="0"/>
        <v>3.7396098032030714E-3</v>
      </c>
      <c r="E41" s="24" t="s">
        <v>265</v>
      </c>
      <c r="F41" s="28" t="s">
        <v>279</v>
      </c>
    </row>
    <row r="43" spans="1:6" ht="30" customHeight="1" x14ac:dyDescent="0.3">
      <c r="A43" s="10" t="s">
        <v>281</v>
      </c>
      <c r="B43" s="10"/>
      <c r="C43" s="10"/>
      <c r="D43" s="10"/>
      <c r="E43" s="10"/>
      <c r="F43" s="10"/>
    </row>
    <row r="44" spans="1:6" ht="30" customHeight="1" x14ac:dyDescent="0.3">
      <c r="A44" s="8" t="s">
        <v>282</v>
      </c>
      <c r="B44" s="8"/>
      <c r="C44" s="8"/>
      <c r="D44" s="8"/>
      <c r="E44" s="8"/>
      <c r="F44" s="8"/>
    </row>
  </sheetData>
  <mergeCells count="2">
    <mergeCell ref="A43:F43"/>
    <mergeCell ref="A44:F44"/>
  </mergeCells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  <pageSetUpPr fitToPage="1"/>
  </sheetPr>
  <dimension ref="A1:G8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52" customWidth="1"/>
    <col min="2" max="5" width="15" customWidth="1"/>
    <col min="6" max="6" width="17" customWidth="1"/>
    <col min="7" max="7" width="74" customWidth="1"/>
  </cols>
  <sheetData>
    <row r="1" spans="1:7" ht="21" x14ac:dyDescent="0.4">
      <c r="A1" s="11" t="s">
        <v>283</v>
      </c>
    </row>
    <row r="2" spans="1:7" x14ac:dyDescent="0.3">
      <c r="A2" s="12" t="s">
        <v>284</v>
      </c>
    </row>
    <row r="3" spans="1:7" x14ac:dyDescent="0.3">
      <c r="A3" s="29" t="s">
        <v>70</v>
      </c>
    </row>
    <row r="5" spans="1:7" x14ac:dyDescent="0.3">
      <c r="A5" s="17" t="s">
        <v>285</v>
      </c>
      <c r="B5" s="18"/>
      <c r="C5" s="18"/>
      <c r="D5" s="18"/>
      <c r="E5" s="18"/>
      <c r="F5" s="18"/>
      <c r="G5" s="18"/>
    </row>
    <row r="6" spans="1:7" x14ac:dyDescent="0.3">
      <c r="A6" s="15" t="s">
        <v>286</v>
      </c>
    </row>
    <row r="7" spans="1:7" ht="30" customHeight="1" x14ac:dyDescent="0.3">
      <c r="A7" s="19" t="s">
        <v>287</v>
      </c>
      <c r="B7" s="20" t="s">
        <v>288</v>
      </c>
      <c r="C7" s="20" t="s">
        <v>289</v>
      </c>
      <c r="D7" s="20" t="s">
        <v>290</v>
      </c>
      <c r="E7" s="20" t="s">
        <v>291</v>
      </c>
      <c r="F7" s="20" t="s">
        <v>292</v>
      </c>
      <c r="G7" s="20" t="s">
        <v>182</v>
      </c>
    </row>
    <row r="8" spans="1:7" x14ac:dyDescent="0.3">
      <c r="A8" s="21" t="s">
        <v>293</v>
      </c>
      <c r="B8" s="30">
        <v>56144.57</v>
      </c>
      <c r="C8" s="30">
        <v>56005.88</v>
      </c>
      <c r="D8" s="30">
        <v>9455.84</v>
      </c>
      <c r="E8" s="30">
        <v>8093.25</v>
      </c>
      <c r="F8" s="32">
        <f t="shared" ref="F8:F13" si="0">IF(COUNT(B8:E8)=0,"n/a",SUM(B8:E8))</f>
        <v>129699.54</v>
      </c>
      <c r="G8" s="28"/>
    </row>
    <row r="9" spans="1:7" x14ac:dyDescent="0.3">
      <c r="A9" s="21" t="s">
        <v>294</v>
      </c>
      <c r="B9" s="30">
        <v>7314.51</v>
      </c>
      <c r="C9" s="30">
        <v>7034.3</v>
      </c>
      <c r="D9" s="30">
        <v>2082.91</v>
      </c>
      <c r="E9" s="30">
        <v>3108.6</v>
      </c>
      <c r="F9" s="32">
        <f t="shared" si="0"/>
        <v>19540.32</v>
      </c>
      <c r="G9" s="28"/>
    </row>
    <row r="10" spans="1:7" x14ac:dyDescent="0.3">
      <c r="A10" s="21" t="s">
        <v>295</v>
      </c>
      <c r="B10" s="30">
        <v>37888.67</v>
      </c>
      <c r="C10" s="30">
        <v>0</v>
      </c>
      <c r="D10" s="30">
        <v>0</v>
      </c>
      <c r="E10" s="30">
        <v>0</v>
      </c>
      <c r="F10" s="32">
        <f t="shared" si="0"/>
        <v>37888.67</v>
      </c>
      <c r="G10" s="28"/>
    </row>
    <row r="11" spans="1:7" x14ac:dyDescent="0.3">
      <c r="A11" s="21" t="s">
        <v>296</v>
      </c>
      <c r="B11" s="35" t="s">
        <v>297</v>
      </c>
      <c r="C11" s="35" t="s">
        <v>297</v>
      </c>
      <c r="D11" s="35" t="s">
        <v>297</v>
      </c>
      <c r="E11" s="35" t="s">
        <v>297</v>
      </c>
      <c r="F11" s="32" t="str">
        <f t="shared" si="0"/>
        <v>n/a</v>
      </c>
      <c r="G11" s="28" t="s">
        <v>298</v>
      </c>
    </row>
    <row r="12" spans="1:7" x14ac:dyDescent="0.3">
      <c r="A12" s="21" t="s">
        <v>299</v>
      </c>
      <c r="B12" s="30">
        <v>789.82</v>
      </c>
      <c r="C12" s="30">
        <v>1139.31</v>
      </c>
      <c r="D12" s="30">
        <v>1035.54</v>
      </c>
      <c r="E12" s="30">
        <v>2415.98</v>
      </c>
      <c r="F12" s="32">
        <f t="shared" si="0"/>
        <v>5380.65</v>
      </c>
      <c r="G12" s="28"/>
    </row>
    <row r="13" spans="1:7" x14ac:dyDescent="0.3">
      <c r="A13" s="21" t="s">
        <v>300</v>
      </c>
      <c r="B13" s="30">
        <v>4168.6400000000003</v>
      </c>
      <c r="C13" s="30">
        <v>397.87</v>
      </c>
      <c r="D13" s="30">
        <v>10.79</v>
      </c>
      <c r="E13" s="30">
        <v>129.80000000000001</v>
      </c>
      <c r="F13" s="32">
        <f t="shared" si="0"/>
        <v>4707.1000000000004</v>
      </c>
      <c r="G13" s="28"/>
    </row>
    <row r="14" spans="1:7" x14ac:dyDescent="0.3">
      <c r="A14" s="14" t="s">
        <v>301</v>
      </c>
      <c r="B14" s="40">
        <v>106306.21</v>
      </c>
      <c r="C14" s="40">
        <v>64577.36</v>
      </c>
      <c r="D14" s="40">
        <v>12585.08</v>
      </c>
      <c r="E14" s="40">
        <v>13747.63</v>
      </c>
      <c r="F14" s="43">
        <f>SUM(B14:E14)</f>
        <v>197216.28</v>
      </c>
      <c r="G14" s="39" t="s">
        <v>302</v>
      </c>
    </row>
    <row r="15" spans="1:7" x14ac:dyDescent="0.3">
      <c r="A15" s="21" t="s">
        <v>303</v>
      </c>
      <c r="B15" s="32">
        <f>SUM(B8:B13)</f>
        <v>106306.21</v>
      </c>
      <c r="C15" s="32">
        <f>SUM(C8:C13)</f>
        <v>64577.36</v>
      </c>
      <c r="D15" s="32">
        <f>SUM(D8:D13)</f>
        <v>12585.080000000002</v>
      </c>
      <c r="E15" s="32">
        <f>SUM(E8:E13)</f>
        <v>13747.63</v>
      </c>
      <c r="F15" s="32">
        <f>SUM(B15:E15)</f>
        <v>197216.28000000003</v>
      </c>
      <c r="G15" s="39"/>
    </row>
    <row r="16" spans="1:7" x14ac:dyDescent="0.3">
      <c r="A16" s="21" t="s">
        <v>304</v>
      </c>
      <c r="B16" s="32">
        <f>B15-B14</f>
        <v>0</v>
      </c>
      <c r="C16" s="32">
        <f>C15-C14</f>
        <v>0</v>
      </c>
      <c r="D16" s="32">
        <f>D15-D14</f>
        <v>0</v>
      </c>
      <c r="E16" s="32">
        <f>E15-E14</f>
        <v>0</v>
      </c>
      <c r="F16" s="32">
        <f>F15-F14</f>
        <v>0</v>
      </c>
      <c r="G16" s="39" t="s">
        <v>305</v>
      </c>
    </row>
    <row r="18" spans="1:7" x14ac:dyDescent="0.3">
      <c r="A18" s="15" t="s">
        <v>306</v>
      </c>
    </row>
    <row r="19" spans="1:7" ht="30" customHeight="1" x14ac:dyDescent="0.3">
      <c r="A19" s="19" t="s">
        <v>287</v>
      </c>
      <c r="B19" s="20" t="s">
        <v>288</v>
      </c>
      <c r="C19" s="20" t="s">
        <v>289</v>
      </c>
      <c r="D19" s="20" t="s">
        <v>290</v>
      </c>
      <c r="E19" s="20" t="s">
        <v>291</v>
      </c>
      <c r="F19" s="20" t="s">
        <v>292</v>
      </c>
      <c r="G19" s="20" t="s">
        <v>182</v>
      </c>
    </row>
    <row r="20" spans="1:7" x14ac:dyDescent="0.3">
      <c r="A20" s="21" t="s">
        <v>293</v>
      </c>
      <c r="B20" s="30">
        <v>41465.760000000002</v>
      </c>
      <c r="C20" s="30">
        <v>56776.23</v>
      </c>
      <c r="D20" s="30">
        <v>15067.65</v>
      </c>
      <c r="E20" s="30">
        <v>8211.6200000000008</v>
      </c>
      <c r="F20" s="32">
        <f t="shared" ref="F20:F25" si="1">IF(COUNT(B20:E20)=0,"n/a",SUM(B20:E20))</f>
        <v>121521.26</v>
      </c>
      <c r="G20" s="28"/>
    </row>
    <row r="21" spans="1:7" x14ac:dyDescent="0.3">
      <c r="A21" s="21" t="s">
        <v>294</v>
      </c>
      <c r="B21" s="30">
        <v>7629.35</v>
      </c>
      <c r="C21" s="30">
        <v>8499.08</v>
      </c>
      <c r="D21" s="30">
        <v>2575.1799999999998</v>
      </c>
      <c r="E21" s="30">
        <v>3451.33</v>
      </c>
      <c r="F21" s="32">
        <f t="shared" si="1"/>
        <v>22154.940000000002</v>
      </c>
      <c r="G21" s="28"/>
    </row>
    <row r="22" spans="1:7" x14ac:dyDescent="0.3">
      <c r="A22" s="21" t="s">
        <v>295</v>
      </c>
      <c r="B22" s="30">
        <v>30855.3</v>
      </c>
      <c r="C22" s="30">
        <v>0</v>
      </c>
      <c r="D22" s="30">
        <v>0</v>
      </c>
      <c r="E22" s="30">
        <v>0</v>
      </c>
      <c r="F22" s="32">
        <f t="shared" si="1"/>
        <v>30855.3</v>
      </c>
      <c r="G22" s="28"/>
    </row>
    <row r="23" spans="1:7" x14ac:dyDescent="0.3">
      <c r="A23" s="21" t="s">
        <v>296</v>
      </c>
      <c r="B23" s="30">
        <v>572.29</v>
      </c>
      <c r="C23" s="30">
        <v>0</v>
      </c>
      <c r="D23" s="30">
        <v>0</v>
      </c>
      <c r="E23" s="30">
        <v>0</v>
      </c>
      <c r="F23" s="32">
        <f t="shared" si="1"/>
        <v>572.29</v>
      </c>
      <c r="G23" s="28"/>
    </row>
    <row r="24" spans="1:7" x14ac:dyDescent="0.3">
      <c r="A24" s="21" t="s">
        <v>299</v>
      </c>
      <c r="B24" s="30">
        <v>832.48</v>
      </c>
      <c r="C24" s="30">
        <v>1240.6099999999999</v>
      </c>
      <c r="D24" s="30">
        <v>969.66</v>
      </c>
      <c r="E24" s="30">
        <v>2017.74</v>
      </c>
      <c r="F24" s="32">
        <f t="shared" si="1"/>
        <v>5060.49</v>
      </c>
      <c r="G24" s="28"/>
    </row>
    <row r="25" spans="1:7" x14ac:dyDescent="0.3">
      <c r="A25" s="21" t="s">
        <v>300</v>
      </c>
      <c r="B25" s="30">
        <v>3232.76</v>
      </c>
      <c r="C25" s="30">
        <v>480.94</v>
      </c>
      <c r="D25" s="30">
        <v>14.26</v>
      </c>
      <c r="E25" s="30">
        <v>110.37</v>
      </c>
      <c r="F25" s="32">
        <f t="shared" si="1"/>
        <v>3838.3300000000004</v>
      </c>
      <c r="G25" s="28"/>
    </row>
    <row r="26" spans="1:7" x14ac:dyDescent="0.3">
      <c r="A26" s="14" t="s">
        <v>301</v>
      </c>
      <c r="B26" s="40">
        <v>84587.94</v>
      </c>
      <c r="C26" s="40">
        <v>66996.86</v>
      </c>
      <c r="D26" s="40">
        <v>18626.75</v>
      </c>
      <c r="E26" s="40">
        <v>13791.06</v>
      </c>
      <c r="F26" s="43">
        <f>SUM(B26:E26)</f>
        <v>184002.61</v>
      </c>
      <c r="G26" s="39" t="s">
        <v>302</v>
      </c>
    </row>
    <row r="27" spans="1:7" x14ac:dyDescent="0.3">
      <c r="A27" s="21" t="s">
        <v>303</v>
      </c>
      <c r="B27" s="32">
        <f>SUM(B20:B25)</f>
        <v>84587.939999999988</v>
      </c>
      <c r="C27" s="32">
        <f>SUM(C20:C25)</f>
        <v>66996.86</v>
      </c>
      <c r="D27" s="32">
        <f>SUM(D20:D25)</f>
        <v>18626.749999999996</v>
      </c>
      <c r="E27" s="32">
        <f>SUM(E20:E25)</f>
        <v>13791.060000000001</v>
      </c>
      <c r="F27" s="32">
        <f>SUM(B27:E27)</f>
        <v>184002.61</v>
      </c>
      <c r="G27" s="39"/>
    </row>
    <row r="28" spans="1:7" x14ac:dyDescent="0.3">
      <c r="A28" s="21" t="s">
        <v>304</v>
      </c>
      <c r="B28" s="32">
        <f>B27-B26</f>
        <v>0</v>
      </c>
      <c r="C28" s="32">
        <f>C27-C26</f>
        <v>0</v>
      </c>
      <c r="D28" s="32">
        <f>D27-D26</f>
        <v>0</v>
      </c>
      <c r="E28" s="32">
        <f>E27-E26</f>
        <v>0</v>
      </c>
      <c r="F28" s="32">
        <f>F27-F26</f>
        <v>0</v>
      </c>
      <c r="G28" s="39" t="s">
        <v>305</v>
      </c>
    </row>
    <row r="30" spans="1:7" x14ac:dyDescent="0.3">
      <c r="A30" s="15" t="s">
        <v>307</v>
      </c>
    </row>
    <row r="31" spans="1:7" ht="30" customHeight="1" x14ac:dyDescent="0.3">
      <c r="A31" s="19" t="s">
        <v>287</v>
      </c>
      <c r="B31" s="20" t="s">
        <v>288</v>
      </c>
      <c r="C31" s="20" t="s">
        <v>289</v>
      </c>
      <c r="D31" s="20" t="s">
        <v>290</v>
      </c>
      <c r="E31" s="20" t="s">
        <v>291</v>
      </c>
      <c r="F31" s="20" t="s">
        <v>292</v>
      </c>
      <c r="G31" s="20" t="s">
        <v>182</v>
      </c>
    </row>
    <row r="32" spans="1:7" x14ac:dyDescent="0.3">
      <c r="A32" s="21" t="s">
        <v>293</v>
      </c>
      <c r="B32" s="30">
        <v>35483.54</v>
      </c>
      <c r="C32" s="30">
        <v>46077.06</v>
      </c>
      <c r="D32" s="30">
        <v>12469.49</v>
      </c>
      <c r="E32" s="30">
        <v>9274.33</v>
      </c>
      <c r="F32" s="32">
        <f t="shared" ref="F32:F37" si="2">IF(COUNT(B32:E32)=0,"n/a",SUM(B32:E32))</f>
        <v>103304.42000000001</v>
      </c>
      <c r="G32" s="28"/>
    </row>
    <row r="33" spans="1:7" x14ac:dyDescent="0.3">
      <c r="A33" s="21" t="s">
        <v>294</v>
      </c>
      <c r="B33" s="30">
        <v>6804.92</v>
      </c>
      <c r="C33" s="30">
        <v>7879.33</v>
      </c>
      <c r="D33" s="30">
        <v>2504.0100000000002</v>
      </c>
      <c r="E33" s="30">
        <v>3860.15</v>
      </c>
      <c r="F33" s="32">
        <f t="shared" si="2"/>
        <v>21048.410000000003</v>
      </c>
      <c r="G33" s="28"/>
    </row>
    <row r="34" spans="1:7" x14ac:dyDescent="0.3">
      <c r="A34" s="21" t="s">
        <v>295</v>
      </c>
      <c r="B34" s="30">
        <v>25665.64</v>
      </c>
      <c r="C34" s="30">
        <v>0</v>
      </c>
      <c r="D34" s="30">
        <v>0</v>
      </c>
      <c r="E34" s="30">
        <v>0</v>
      </c>
      <c r="F34" s="32">
        <f t="shared" si="2"/>
        <v>25665.64</v>
      </c>
      <c r="G34" s="28"/>
    </row>
    <row r="35" spans="1:7" x14ac:dyDescent="0.3">
      <c r="A35" s="21" t="s">
        <v>296</v>
      </c>
      <c r="B35" s="30">
        <v>557.34</v>
      </c>
      <c r="C35" s="30">
        <v>0</v>
      </c>
      <c r="D35" s="30">
        <v>0</v>
      </c>
      <c r="E35" s="30">
        <v>0</v>
      </c>
      <c r="F35" s="32">
        <f t="shared" si="2"/>
        <v>557.34</v>
      </c>
      <c r="G35" s="28"/>
    </row>
    <row r="36" spans="1:7" x14ac:dyDescent="0.3">
      <c r="A36" s="21" t="s">
        <v>299</v>
      </c>
      <c r="B36" s="30">
        <v>756.13</v>
      </c>
      <c r="C36" s="30">
        <v>1018.88</v>
      </c>
      <c r="D36" s="30">
        <v>851.7</v>
      </c>
      <c r="E36" s="30">
        <v>1792.91</v>
      </c>
      <c r="F36" s="32">
        <f t="shared" si="2"/>
        <v>4419.62</v>
      </c>
      <c r="G36" s="28"/>
    </row>
    <row r="37" spans="1:7" x14ac:dyDescent="0.3">
      <c r="A37" s="21" t="s">
        <v>300</v>
      </c>
      <c r="B37" s="30">
        <v>2763.81</v>
      </c>
      <c r="C37" s="30">
        <v>288.22000000000003</v>
      </c>
      <c r="D37" s="30">
        <v>177.57</v>
      </c>
      <c r="E37" s="30">
        <v>90.08</v>
      </c>
      <c r="F37" s="32">
        <f t="shared" si="2"/>
        <v>3319.68</v>
      </c>
      <c r="G37" s="28"/>
    </row>
    <row r="38" spans="1:7" x14ac:dyDescent="0.3">
      <c r="A38" s="14" t="s">
        <v>301</v>
      </c>
      <c r="B38" s="40">
        <v>72031.38</v>
      </c>
      <c r="C38" s="40">
        <v>55263.49</v>
      </c>
      <c r="D38" s="40">
        <v>16002.77</v>
      </c>
      <c r="E38" s="40">
        <v>15017.47</v>
      </c>
      <c r="F38" s="43">
        <f>SUM(B38:E38)</f>
        <v>158315.10999999999</v>
      </c>
      <c r="G38" s="39" t="s">
        <v>302</v>
      </c>
    </row>
    <row r="39" spans="1:7" x14ac:dyDescent="0.3">
      <c r="A39" s="21" t="s">
        <v>303</v>
      </c>
      <c r="B39" s="32">
        <f>SUM(B32:B37)</f>
        <v>72031.38</v>
      </c>
      <c r="C39" s="32">
        <f>SUM(C32:C37)</f>
        <v>55263.49</v>
      </c>
      <c r="D39" s="32">
        <f>SUM(D32:D37)</f>
        <v>16002.77</v>
      </c>
      <c r="E39" s="32">
        <f>SUM(E32:E37)</f>
        <v>15017.47</v>
      </c>
      <c r="F39" s="32">
        <f>SUM(B39:E39)</f>
        <v>158315.10999999999</v>
      </c>
      <c r="G39" s="39"/>
    </row>
    <row r="40" spans="1:7" x14ac:dyDescent="0.3">
      <c r="A40" s="21" t="s">
        <v>304</v>
      </c>
      <c r="B40" s="32">
        <f>B39-B38</f>
        <v>0</v>
      </c>
      <c r="C40" s="32">
        <f>C39-C38</f>
        <v>0</v>
      </c>
      <c r="D40" s="32">
        <f>D39-D38</f>
        <v>0</v>
      </c>
      <c r="E40" s="32">
        <f>E39-E38</f>
        <v>0</v>
      </c>
      <c r="F40" s="32">
        <f>F39-F38</f>
        <v>0</v>
      </c>
      <c r="G40" s="39" t="s">
        <v>305</v>
      </c>
    </row>
    <row r="42" spans="1:7" x14ac:dyDescent="0.3">
      <c r="A42" s="17" t="s">
        <v>308</v>
      </c>
      <c r="B42" s="18"/>
      <c r="C42" s="18"/>
      <c r="D42" s="18"/>
      <c r="E42" s="18"/>
      <c r="F42" s="18"/>
      <c r="G42" s="18"/>
    </row>
    <row r="43" spans="1:7" ht="30" customHeight="1" x14ac:dyDescent="0.3">
      <c r="A43" s="19" t="s">
        <v>213</v>
      </c>
      <c r="B43" s="20" t="s">
        <v>14</v>
      </c>
      <c r="C43" s="20" t="s">
        <v>15</v>
      </c>
      <c r="D43" s="20" t="s">
        <v>11</v>
      </c>
      <c r="E43" s="20" t="s">
        <v>73</v>
      </c>
      <c r="F43" s="20"/>
      <c r="G43" s="20" t="s">
        <v>182</v>
      </c>
    </row>
    <row r="44" spans="1:7" x14ac:dyDescent="0.3">
      <c r="A44" s="34" t="s">
        <v>309</v>
      </c>
      <c r="B44" s="32">
        <f>F32</f>
        <v>103304.42000000001</v>
      </c>
      <c r="C44" s="32">
        <f>F20</f>
        <v>121521.26</v>
      </c>
      <c r="D44" s="32">
        <f>F8</f>
        <v>129699.54</v>
      </c>
      <c r="E44" s="24" t="s">
        <v>77</v>
      </c>
      <c r="F44" s="21"/>
      <c r="G44" s="28" t="s">
        <v>310</v>
      </c>
    </row>
    <row r="45" spans="1:7" x14ac:dyDescent="0.3">
      <c r="A45" s="34" t="s">
        <v>311</v>
      </c>
      <c r="B45" s="44">
        <f>'Financial Inputs'!$C$22</f>
        <v>103203.23</v>
      </c>
      <c r="C45" s="44">
        <f>'Financial Inputs'!$D$22</f>
        <v>121172.95</v>
      </c>
      <c r="D45" s="44">
        <f>'Financial Inputs'!$E$22</f>
        <v>129614.5</v>
      </c>
      <c r="E45" s="24" t="s">
        <v>77</v>
      </c>
      <c r="F45" s="21"/>
      <c r="G45" s="28" t="s">
        <v>312</v>
      </c>
    </row>
    <row r="46" spans="1:7" ht="34.200000000000003" x14ac:dyDescent="0.3">
      <c r="A46" s="27" t="s">
        <v>313</v>
      </c>
      <c r="B46" s="43">
        <f>B44-B45</f>
        <v>101.19000000001688</v>
      </c>
      <c r="C46" s="43">
        <f>C44-C45</f>
        <v>348.30999999999767</v>
      </c>
      <c r="D46" s="43">
        <f>D44-D45</f>
        <v>85.039999999993597</v>
      </c>
      <c r="E46" s="24" t="s">
        <v>77</v>
      </c>
      <c r="F46" s="21"/>
      <c r="G46" s="28" t="s">
        <v>314</v>
      </c>
    </row>
    <row r="47" spans="1:7" x14ac:dyDescent="0.3">
      <c r="A47" s="34" t="s">
        <v>315</v>
      </c>
      <c r="B47" s="48">
        <f>B46/B45</f>
        <v>9.8049256791688487E-4</v>
      </c>
      <c r="C47" s="48">
        <f>C46/C45</f>
        <v>2.874486426219694E-3</v>
      </c>
      <c r="D47" s="48">
        <f>D46/D45</f>
        <v>6.5609943331952517E-4</v>
      </c>
      <c r="E47" s="24" t="s">
        <v>237</v>
      </c>
      <c r="F47" s="21"/>
      <c r="G47" s="28" t="s">
        <v>316</v>
      </c>
    </row>
    <row r="48" spans="1:7" x14ac:dyDescent="0.3">
      <c r="A48" s="34" t="s">
        <v>218</v>
      </c>
      <c r="B48" s="49" t="str">
        <f>IF(ABS(B46)&lt;=0.02,"OK","FLAG")</f>
        <v>FLAG</v>
      </c>
      <c r="C48" s="49" t="str">
        <f>IF(ABS(C46)&lt;=0.02,"OK","FLAG")</f>
        <v>FLAG</v>
      </c>
      <c r="D48" s="49" t="str">
        <f>IF(ABS(D46)&lt;=0.02,"OK","FLAG")</f>
        <v>FLAG</v>
      </c>
      <c r="E48" s="24"/>
      <c r="F48" s="21"/>
      <c r="G48" s="28" t="s">
        <v>317</v>
      </c>
    </row>
    <row r="50" spans="1:7" x14ac:dyDescent="0.3">
      <c r="A50" s="17" t="s">
        <v>318</v>
      </c>
      <c r="B50" s="18"/>
      <c r="C50" s="18"/>
      <c r="D50" s="18"/>
      <c r="E50" s="18"/>
      <c r="F50" s="18"/>
      <c r="G50" s="18"/>
    </row>
    <row r="51" spans="1:7" ht="30" customHeight="1" x14ac:dyDescent="0.3">
      <c r="A51" s="19" t="s">
        <v>213</v>
      </c>
      <c r="B51" s="20" t="s">
        <v>14</v>
      </c>
      <c r="C51" s="20" t="s">
        <v>15</v>
      </c>
      <c r="D51" s="20" t="s">
        <v>11</v>
      </c>
      <c r="E51" s="20" t="s">
        <v>73</v>
      </c>
      <c r="F51" s="20"/>
      <c r="G51" s="20" t="s">
        <v>182</v>
      </c>
    </row>
    <row r="52" spans="1:7" x14ac:dyDescent="0.3">
      <c r="A52" s="34" t="s">
        <v>288</v>
      </c>
      <c r="B52" s="36">
        <f>B32/F32</f>
        <v>0.34348520615090811</v>
      </c>
      <c r="C52" s="36">
        <f>B20/F20</f>
        <v>0.34122226843270059</v>
      </c>
      <c r="D52" s="36">
        <f>B8/F8</f>
        <v>0.43288179742194927</v>
      </c>
      <c r="E52" s="24" t="s">
        <v>237</v>
      </c>
      <c r="F52" s="21"/>
      <c r="G52" s="28" t="s">
        <v>319</v>
      </c>
    </row>
    <row r="53" spans="1:7" x14ac:dyDescent="0.3">
      <c r="A53" s="34" t="s">
        <v>289</v>
      </c>
      <c r="B53" s="36">
        <f>C32/F32</f>
        <v>0.44603183484307829</v>
      </c>
      <c r="C53" s="36">
        <f>C20/F20</f>
        <v>0.46721232153122844</v>
      </c>
      <c r="D53" s="36">
        <f>C8/F8</f>
        <v>0.43181247982837873</v>
      </c>
      <c r="E53" s="24" t="s">
        <v>237</v>
      </c>
      <c r="F53" s="21"/>
      <c r="G53" s="28"/>
    </row>
    <row r="54" spans="1:7" x14ac:dyDescent="0.3">
      <c r="A54" s="34" t="s">
        <v>290</v>
      </c>
      <c r="B54" s="36">
        <f>D32/F32</f>
        <v>0.12070625826077915</v>
      </c>
      <c r="C54" s="36">
        <f>D20/F20</f>
        <v>0.12399188421844869</v>
      </c>
      <c r="D54" s="36">
        <f>D8/F8</f>
        <v>7.2905732741997395E-2</v>
      </c>
      <c r="E54" s="24" t="s">
        <v>237</v>
      </c>
      <c r="F54" s="21"/>
      <c r="G54" s="28"/>
    </row>
    <row r="55" spans="1:7" x14ac:dyDescent="0.3">
      <c r="A55" s="34" t="s">
        <v>291</v>
      </c>
      <c r="B55" s="36">
        <f>E32/F32</f>
        <v>8.977670074523432E-2</v>
      </c>
      <c r="C55" s="36">
        <f>E20/F20</f>
        <v>6.7573525817622368E-2</v>
      </c>
      <c r="D55" s="36">
        <f>E8/F8</f>
        <v>6.2399990007674662E-2</v>
      </c>
      <c r="E55" s="24" t="s">
        <v>237</v>
      </c>
      <c r="F55" s="21"/>
      <c r="G55" s="28"/>
    </row>
    <row r="57" spans="1:7" x14ac:dyDescent="0.3">
      <c r="A57" s="17" t="s">
        <v>320</v>
      </c>
      <c r="B57" s="18"/>
      <c r="C57" s="18"/>
      <c r="D57" s="18"/>
      <c r="E57" s="18"/>
      <c r="F57" s="18"/>
      <c r="G57" s="18"/>
    </row>
    <row r="58" spans="1:7" ht="30" customHeight="1" x14ac:dyDescent="0.3">
      <c r="A58" s="19" t="s">
        <v>213</v>
      </c>
      <c r="B58" s="20" t="s">
        <v>14</v>
      </c>
      <c r="C58" s="20" t="s">
        <v>15</v>
      </c>
      <c r="D58" s="20" t="s">
        <v>11</v>
      </c>
      <c r="E58" s="20" t="s">
        <v>73</v>
      </c>
      <c r="F58" s="20"/>
      <c r="G58" s="20" t="s">
        <v>182</v>
      </c>
    </row>
    <row r="59" spans="1:7" x14ac:dyDescent="0.3">
      <c r="A59" s="34" t="s">
        <v>104</v>
      </c>
      <c r="B59" s="44">
        <f>'Financial Inputs'!$C$23</f>
        <v>4530.1000000000004</v>
      </c>
      <c r="C59" s="44">
        <f>'Financial Inputs'!$D$23</f>
        <v>4923.8900000000003</v>
      </c>
      <c r="D59" s="44">
        <f>'Financial Inputs'!$E$23</f>
        <v>4292.24</v>
      </c>
      <c r="E59" s="24" t="s">
        <v>77</v>
      </c>
      <c r="F59" s="21"/>
      <c r="G59" s="28"/>
    </row>
    <row r="60" spans="1:7" x14ac:dyDescent="0.3">
      <c r="A60" s="34" t="s">
        <v>105</v>
      </c>
      <c r="B60" s="44">
        <f>'Financial Inputs'!$C$24</f>
        <v>25205.94</v>
      </c>
      <c r="C60" s="44">
        <f>'Financial Inputs'!$D$24</f>
        <v>15690.95</v>
      </c>
      <c r="D60" s="44">
        <f>'Financial Inputs'!$E$24</f>
        <v>27686.34</v>
      </c>
      <c r="E60" s="24" t="s">
        <v>77</v>
      </c>
      <c r="F60" s="21"/>
      <c r="G60" s="28" t="s">
        <v>321</v>
      </c>
    </row>
    <row r="61" spans="1:7" x14ac:dyDescent="0.3">
      <c r="A61" s="27" t="s">
        <v>322</v>
      </c>
      <c r="B61" s="43">
        <f>B59+B60</f>
        <v>29736.04</v>
      </c>
      <c r="C61" s="43">
        <f>C59+C60</f>
        <v>20614.84</v>
      </c>
      <c r="D61" s="43">
        <f>D59+D60</f>
        <v>31978.58</v>
      </c>
      <c r="E61" s="24" t="s">
        <v>77</v>
      </c>
      <c r="F61" s="21"/>
      <c r="G61" s="28" t="s">
        <v>323</v>
      </c>
    </row>
    <row r="62" spans="1:7" x14ac:dyDescent="0.3">
      <c r="A62" s="34" t="s">
        <v>324</v>
      </c>
      <c r="B62" s="32">
        <f>B32</f>
        <v>35483.54</v>
      </c>
      <c r="C62" s="32">
        <f>B20</f>
        <v>41465.760000000002</v>
      </c>
      <c r="D62" s="32">
        <f>B8</f>
        <v>56144.57</v>
      </c>
      <c r="E62" s="24" t="s">
        <v>77</v>
      </c>
      <c r="F62" s="21"/>
      <c r="G62" s="28"/>
    </row>
    <row r="63" spans="1:7" x14ac:dyDescent="0.3">
      <c r="A63" s="34" t="s">
        <v>325</v>
      </c>
      <c r="B63" s="32">
        <f>B38</f>
        <v>72031.38</v>
      </c>
      <c r="C63" s="32">
        <f>B26</f>
        <v>84587.94</v>
      </c>
      <c r="D63" s="32">
        <f>B14</f>
        <v>106306.21</v>
      </c>
      <c r="E63" s="24" t="s">
        <v>77</v>
      </c>
      <c r="F63" s="21"/>
      <c r="G63" s="28" t="s">
        <v>326</v>
      </c>
    </row>
    <row r="64" spans="1:7" ht="22.8" x14ac:dyDescent="0.3">
      <c r="A64" s="34" t="s">
        <v>327</v>
      </c>
      <c r="B64" s="32">
        <f>B34</f>
        <v>25665.64</v>
      </c>
      <c r="C64" s="32">
        <f>B22</f>
        <v>30855.3</v>
      </c>
      <c r="D64" s="32">
        <f>B10</f>
        <v>37888.67</v>
      </c>
      <c r="E64" s="24" t="s">
        <v>77</v>
      </c>
      <c r="F64" s="21"/>
      <c r="G64" s="28" t="s">
        <v>328</v>
      </c>
    </row>
    <row r="65" spans="1:7" x14ac:dyDescent="0.3">
      <c r="A65" s="34" t="s">
        <v>329</v>
      </c>
      <c r="B65" s="37">
        <f>B59/B62</f>
        <v>0.12766764533640104</v>
      </c>
      <c r="C65" s="37">
        <f>C59/C62</f>
        <v>0.11874592434818511</v>
      </c>
      <c r="D65" s="37">
        <f>D59/D62</f>
        <v>7.6449779560160483E-2</v>
      </c>
      <c r="E65" s="24" t="s">
        <v>330</v>
      </c>
      <c r="F65" s="21"/>
      <c r="G65" s="28"/>
    </row>
    <row r="66" spans="1:7" ht="26.4" x14ac:dyDescent="0.3">
      <c r="A66" s="27" t="s">
        <v>331</v>
      </c>
      <c r="B66" s="50">
        <f>B61/B62</f>
        <v>0.83802348920090841</v>
      </c>
      <c r="C66" s="50">
        <f>C61/C62</f>
        <v>0.49715331396313489</v>
      </c>
      <c r="D66" s="50">
        <f>D61/D62</f>
        <v>0.56957565085991402</v>
      </c>
      <c r="E66" s="24" t="s">
        <v>330</v>
      </c>
      <c r="F66" s="21"/>
      <c r="G66" s="28" t="s">
        <v>332</v>
      </c>
    </row>
    <row r="67" spans="1:7" ht="26.4" x14ac:dyDescent="0.3">
      <c r="A67" s="34" t="s">
        <v>333</v>
      </c>
      <c r="B67" s="37">
        <f>B61/B63</f>
        <v>0.41282063456232548</v>
      </c>
      <c r="C67" s="37">
        <f>C61/C63</f>
        <v>0.24370897317040702</v>
      </c>
      <c r="D67" s="37">
        <f>D61/D63</f>
        <v>0.30081572845085908</v>
      </c>
      <c r="E67" s="24" t="s">
        <v>330</v>
      </c>
      <c r="F67" s="21"/>
      <c r="G67" s="28" t="s">
        <v>334</v>
      </c>
    </row>
    <row r="68" spans="1:7" ht="26.4" x14ac:dyDescent="0.3">
      <c r="A68" s="34" t="s">
        <v>335</v>
      </c>
      <c r="B68" s="32">
        <f>B61-B62</f>
        <v>-5747.5</v>
      </c>
      <c r="C68" s="32">
        <f>C61-C62</f>
        <v>-20850.920000000002</v>
      </c>
      <c r="D68" s="32">
        <f>D61-D62</f>
        <v>-24165.989999999998</v>
      </c>
      <c r="E68" s="24" t="s">
        <v>77</v>
      </c>
      <c r="F68" s="21"/>
      <c r="G68" s="28" t="s">
        <v>336</v>
      </c>
    </row>
    <row r="70" spans="1:7" x14ac:dyDescent="0.3">
      <c r="A70" s="17" t="s">
        <v>337</v>
      </c>
      <c r="B70" s="18"/>
      <c r="C70" s="18"/>
      <c r="D70" s="18"/>
      <c r="E70" s="18"/>
      <c r="F70" s="18"/>
      <c r="G70" s="18"/>
    </row>
    <row r="71" spans="1:7" ht="30" customHeight="1" x14ac:dyDescent="0.3">
      <c r="A71" s="19" t="s">
        <v>213</v>
      </c>
      <c r="B71" s="20" t="s">
        <v>14</v>
      </c>
      <c r="C71" s="20" t="s">
        <v>15</v>
      </c>
      <c r="D71" s="20" t="s">
        <v>11</v>
      </c>
      <c r="E71" s="20" t="s">
        <v>73</v>
      </c>
      <c r="F71" s="20"/>
      <c r="G71" s="20" t="s">
        <v>182</v>
      </c>
    </row>
    <row r="72" spans="1:7" x14ac:dyDescent="0.3">
      <c r="A72" s="34" t="s">
        <v>338</v>
      </c>
      <c r="B72" s="31" t="s">
        <v>86</v>
      </c>
      <c r="C72" s="44">
        <f>'Financial Inputs'!$D$27</f>
        <v>8193.11</v>
      </c>
      <c r="D72" s="44">
        <f>'Financial Inputs'!$E$27</f>
        <v>18949.89</v>
      </c>
      <c r="E72" s="24" t="s">
        <v>77</v>
      </c>
      <c r="F72" s="21"/>
      <c r="G72" s="28" t="s">
        <v>111</v>
      </c>
    </row>
    <row r="73" spans="1:7" x14ac:dyDescent="0.3">
      <c r="A73" s="34" t="s">
        <v>339</v>
      </c>
      <c r="B73" s="31" t="s">
        <v>86</v>
      </c>
      <c r="C73" s="44">
        <f>'Financial Inputs'!$D$28</f>
        <v>33272.65</v>
      </c>
      <c r="D73" s="44">
        <f>'Financial Inputs'!$E$28</f>
        <v>37194.68</v>
      </c>
      <c r="E73" s="24" t="s">
        <v>77</v>
      </c>
      <c r="F73" s="21"/>
      <c r="G73" s="28" t="s">
        <v>111</v>
      </c>
    </row>
    <row r="74" spans="1:7" x14ac:dyDescent="0.3">
      <c r="A74" s="34" t="s">
        <v>340</v>
      </c>
      <c r="B74" s="31" t="s">
        <v>86</v>
      </c>
      <c r="C74" s="32">
        <f>C72+C73</f>
        <v>41465.760000000002</v>
      </c>
      <c r="D74" s="32">
        <f>D72+D73</f>
        <v>56144.57</v>
      </c>
      <c r="E74" s="24" t="s">
        <v>77</v>
      </c>
      <c r="F74" s="21"/>
      <c r="G74" s="28"/>
    </row>
    <row r="75" spans="1:7" x14ac:dyDescent="0.3">
      <c r="A75" s="34" t="s">
        <v>341</v>
      </c>
      <c r="B75" s="31" t="s">
        <v>86</v>
      </c>
      <c r="C75" s="32">
        <f>C74-'Financial Inputs'!$D$21</f>
        <v>0</v>
      </c>
      <c r="D75" s="32">
        <f>D74-'Financial Inputs'!$E$21</f>
        <v>0</v>
      </c>
      <c r="E75" s="24" t="s">
        <v>77</v>
      </c>
      <c r="F75" s="21"/>
      <c r="G75" s="28" t="s">
        <v>273</v>
      </c>
    </row>
    <row r="76" spans="1:7" x14ac:dyDescent="0.3">
      <c r="A76" s="34" t="s">
        <v>342</v>
      </c>
      <c r="B76" s="41" t="s">
        <v>86</v>
      </c>
      <c r="C76" s="36">
        <f>C73/'Financial Inputs'!$D$21</f>
        <v>0.80241264117672029</v>
      </c>
      <c r="D76" s="36">
        <f>D73/'Financial Inputs'!$E$21</f>
        <v>0.6624804500239293</v>
      </c>
      <c r="E76" s="24" t="s">
        <v>237</v>
      </c>
      <c r="F76" s="21"/>
      <c r="G76" s="28" t="s">
        <v>343</v>
      </c>
    </row>
    <row r="77" spans="1:7" x14ac:dyDescent="0.3">
      <c r="A77" s="34" t="s">
        <v>344</v>
      </c>
      <c r="B77" s="41" t="s">
        <v>86</v>
      </c>
      <c r="C77" s="41" t="s">
        <v>86</v>
      </c>
      <c r="D77" s="36">
        <f>D72/C72-1</f>
        <v>1.3129055999492252</v>
      </c>
      <c r="E77" s="24" t="s">
        <v>237</v>
      </c>
      <c r="F77" s="21"/>
      <c r="G77" s="28" t="s">
        <v>345</v>
      </c>
    </row>
    <row r="78" spans="1:7" x14ac:dyDescent="0.3">
      <c r="A78" s="34" t="s">
        <v>346</v>
      </c>
      <c r="B78" s="31" t="s">
        <v>86</v>
      </c>
      <c r="C78" s="32">
        <f>'Financial Inputs'!$D$25+'Financial Inputs'!$D$26</f>
        <v>3776.3599999999997</v>
      </c>
      <c r="D78" s="32">
        <f>'Financial Inputs'!$E$25+'Financial Inputs'!$E$26</f>
        <v>4348.6499999999996</v>
      </c>
      <c r="E78" s="24" t="s">
        <v>77</v>
      </c>
      <c r="F78" s="21"/>
      <c r="G78" s="28" t="s">
        <v>108</v>
      </c>
    </row>
    <row r="79" spans="1:7" x14ac:dyDescent="0.3">
      <c r="A79" s="34" t="s">
        <v>347</v>
      </c>
      <c r="B79" s="31" t="s">
        <v>86</v>
      </c>
      <c r="C79" s="32">
        <f>'Financial Inputs'!$D$22+C78</f>
        <v>124949.31</v>
      </c>
      <c r="D79" s="32">
        <f>'Financial Inputs'!$E$22+D78</f>
        <v>133963.15</v>
      </c>
      <c r="E79" s="24" t="s">
        <v>77</v>
      </c>
      <c r="F79" s="21"/>
      <c r="G79" s="28" t="s">
        <v>348</v>
      </c>
    </row>
    <row r="81" spans="1:7" ht="43.5" customHeight="1" x14ac:dyDescent="0.3">
      <c r="A81" s="8" t="s">
        <v>349</v>
      </c>
      <c r="B81" s="8"/>
      <c r="C81" s="8"/>
      <c r="D81" s="8"/>
      <c r="E81" s="8"/>
      <c r="F81" s="8"/>
      <c r="G81" s="8"/>
    </row>
  </sheetData>
  <mergeCells count="1">
    <mergeCell ref="A81:G81"/>
  </mergeCells>
  <conditionalFormatting sqref="B48:D48">
    <cfRule type="cellIs" dxfId="8" priority="5" operator="equal">
      <formula>"FLAG"</formula>
    </cfRule>
    <cfRule type="cellIs" dxfId="7" priority="6" operator="equal">
      <formula>"OK"</formula>
    </cfRule>
  </conditionalFormatting>
  <conditionalFormatting sqref="B68:D68">
    <cfRule type="cellIs" dxfId="6" priority="7" operator="lessThan">
      <formula>0</formula>
    </cfRule>
  </conditionalFormatting>
  <conditionalFormatting sqref="B16:F16">
    <cfRule type="expression" dxfId="5" priority="2">
      <formula>ABS(B16)&gt;0.02</formula>
    </cfRule>
  </conditionalFormatting>
  <conditionalFormatting sqref="B28:F28">
    <cfRule type="expression" dxfId="4" priority="3">
      <formula>ABS(B28)&gt;0.02</formula>
    </cfRule>
  </conditionalFormatting>
  <conditionalFormatting sqref="B40:F40">
    <cfRule type="expression" dxfId="3" priority="4">
      <formula>ABS(B40)&gt;0.02</formula>
    </cfRule>
  </conditionalFormatting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J7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52" customWidth="1"/>
    <col min="3" max="3" width="26" customWidth="1"/>
    <col min="4" max="5" width="16" customWidth="1"/>
    <col min="6" max="7" width="14" customWidth="1"/>
    <col min="8" max="8" width="62" customWidth="1"/>
    <col min="9" max="9" width="34" customWidth="1"/>
    <col min="10" max="10" width="70" customWidth="1"/>
  </cols>
  <sheetData>
    <row r="1" spans="1:10" ht="21" x14ac:dyDescent="0.4">
      <c r="A1" s="11" t="s">
        <v>414</v>
      </c>
    </row>
    <row r="2" spans="1:10" x14ac:dyDescent="0.3">
      <c r="A2" s="12" t="s">
        <v>415</v>
      </c>
    </row>
    <row r="4" spans="1:10" x14ac:dyDescent="0.3">
      <c r="A4" s="17" t="s">
        <v>416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30" customHeight="1" x14ac:dyDescent="0.3">
      <c r="A5" s="19" t="s">
        <v>417</v>
      </c>
      <c r="B5" s="20" t="s">
        <v>418</v>
      </c>
      <c r="C5" s="20" t="s">
        <v>419</v>
      </c>
      <c r="D5" s="20" t="s">
        <v>420</v>
      </c>
      <c r="E5" s="20" t="s">
        <v>421</v>
      </c>
      <c r="F5" s="20" t="s">
        <v>422</v>
      </c>
      <c r="G5" s="20" t="s">
        <v>423</v>
      </c>
      <c r="H5" s="20" t="s">
        <v>424</v>
      </c>
      <c r="I5" s="20" t="s">
        <v>425</v>
      </c>
      <c r="J5" s="20" t="s">
        <v>426</v>
      </c>
    </row>
    <row r="6" spans="1:10" ht="34.200000000000003" x14ac:dyDescent="0.3">
      <c r="A6" s="21" t="s">
        <v>427</v>
      </c>
      <c r="B6" s="34" t="s">
        <v>428</v>
      </c>
      <c r="C6" s="34" t="s">
        <v>429</v>
      </c>
      <c r="D6" s="65" t="s">
        <v>86</v>
      </c>
      <c r="E6" s="34" t="s">
        <v>430</v>
      </c>
      <c r="F6" s="66" t="s">
        <v>431</v>
      </c>
      <c r="G6" s="34" t="s">
        <v>432</v>
      </c>
      <c r="H6" s="28" t="s">
        <v>433</v>
      </c>
      <c r="I6" s="34" t="s">
        <v>434</v>
      </c>
      <c r="J6" s="67" t="s">
        <v>435</v>
      </c>
    </row>
    <row r="7" spans="1:10" ht="26.4" x14ac:dyDescent="0.3">
      <c r="A7" s="21" t="s">
        <v>436</v>
      </c>
      <c r="B7" s="34" t="s">
        <v>437</v>
      </c>
      <c r="C7" s="34" t="s">
        <v>429</v>
      </c>
      <c r="D7" s="65" t="s">
        <v>86</v>
      </c>
      <c r="E7" s="34" t="s">
        <v>430</v>
      </c>
      <c r="F7" s="66" t="s">
        <v>431</v>
      </c>
      <c r="G7" s="34" t="s">
        <v>432</v>
      </c>
      <c r="H7" s="28" t="s">
        <v>438</v>
      </c>
      <c r="I7" s="34" t="s">
        <v>434</v>
      </c>
      <c r="J7" s="67" t="s">
        <v>439</v>
      </c>
    </row>
    <row r="8" spans="1:10" ht="34.200000000000003" x14ac:dyDescent="0.3">
      <c r="A8" s="21" t="s">
        <v>440</v>
      </c>
      <c r="B8" s="34" t="s">
        <v>441</v>
      </c>
      <c r="C8" s="34" t="s">
        <v>442</v>
      </c>
      <c r="D8" s="54">
        <v>46283</v>
      </c>
      <c r="E8" s="34" t="s">
        <v>443</v>
      </c>
      <c r="F8" s="66" t="s">
        <v>431</v>
      </c>
      <c r="G8" s="34" t="s">
        <v>444</v>
      </c>
      <c r="H8" s="28" t="s">
        <v>445</v>
      </c>
      <c r="I8" s="34" t="s">
        <v>434</v>
      </c>
      <c r="J8" s="67" t="s">
        <v>446</v>
      </c>
    </row>
    <row r="9" spans="1:10" ht="26.4" x14ac:dyDescent="0.3">
      <c r="A9" s="21" t="s">
        <v>447</v>
      </c>
      <c r="B9" s="34" t="s">
        <v>448</v>
      </c>
      <c r="C9" s="34" t="s">
        <v>449</v>
      </c>
      <c r="D9" s="65" t="s">
        <v>86</v>
      </c>
      <c r="E9" s="34" t="s">
        <v>430</v>
      </c>
      <c r="F9" s="66" t="s">
        <v>431</v>
      </c>
      <c r="G9" s="34" t="s">
        <v>450</v>
      </c>
      <c r="H9" s="28" t="s">
        <v>451</v>
      </c>
      <c r="I9" s="34" t="s">
        <v>434</v>
      </c>
      <c r="J9" s="67" t="s">
        <v>452</v>
      </c>
    </row>
    <row r="10" spans="1:10" ht="30" customHeight="1" x14ac:dyDescent="0.3">
      <c r="A10" s="8" t="s">
        <v>453</v>
      </c>
      <c r="B10" s="8"/>
      <c r="C10" s="8"/>
      <c r="D10" s="8"/>
      <c r="E10" s="8"/>
      <c r="F10" s="8"/>
      <c r="G10" s="8"/>
      <c r="H10" s="8"/>
      <c r="I10" s="8"/>
      <c r="J10" s="8"/>
    </row>
    <row r="12" spans="1:10" x14ac:dyDescent="0.3">
      <c r="A12" s="17" t="s">
        <v>454</v>
      </c>
      <c r="B12" s="18"/>
      <c r="C12" s="18"/>
      <c r="D12" s="18"/>
      <c r="E12" s="18"/>
      <c r="F12" s="18"/>
      <c r="G12" s="18"/>
      <c r="H12" s="18"/>
      <c r="I12" s="18"/>
      <c r="J12" s="18"/>
    </row>
    <row r="13" spans="1:10" x14ac:dyDescent="0.3">
      <c r="A13" s="68" t="s">
        <v>455</v>
      </c>
      <c r="B13" s="68" t="s">
        <v>456</v>
      </c>
      <c r="C13" s="69">
        <v>0.02</v>
      </c>
    </row>
    <row r="14" spans="1:10" ht="30" customHeight="1" x14ac:dyDescent="0.3">
      <c r="A14" s="19" t="s">
        <v>417</v>
      </c>
      <c r="B14" s="20" t="s">
        <v>397</v>
      </c>
      <c r="C14" s="20" t="s">
        <v>457</v>
      </c>
      <c r="D14" s="20" t="s">
        <v>458</v>
      </c>
      <c r="E14" s="20" t="s">
        <v>459</v>
      </c>
      <c r="F14" s="20" t="s">
        <v>460</v>
      </c>
      <c r="G14" s="20" t="s">
        <v>461</v>
      </c>
      <c r="H14" s="20" t="s">
        <v>462</v>
      </c>
      <c r="I14" s="20" t="s">
        <v>425</v>
      </c>
      <c r="J14" s="20" t="s">
        <v>463</v>
      </c>
    </row>
    <row r="15" spans="1:10" ht="26.4" x14ac:dyDescent="0.3">
      <c r="A15" s="21" t="s">
        <v>464</v>
      </c>
      <c r="B15" s="34" t="s">
        <v>465</v>
      </c>
      <c r="C15" s="34" t="s">
        <v>466</v>
      </c>
      <c r="D15" s="44">
        <f>'Financial Inputs'!$C$22</f>
        <v>103203.23</v>
      </c>
      <c r="E15" s="44">
        <f>'Debt Maturity &amp; Liquidity'!F32</f>
        <v>103304.42000000001</v>
      </c>
      <c r="F15" s="32">
        <f t="shared" ref="F15:F48" si="0">E15-D15</f>
        <v>101.19000000001688</v>
      </c>
      <c r="G15" s="24" t="str">
        <f t="shared" ref="G15:G37" si="1">IF(ABS(F15)&lt;=$C$13,"OK","FLAG")</f>
        <v>FLAG</v>
      </c>
      <c r="H15" s="28" t="s">
        <v>467</v>
      </c>
      <c r="I15" s="34" t="s">
        <v>468</v>
      </c>
      <c r="J15" s="21" t="s">
        <v>469</v>
      </c>
    </row>
    <row r="16" spans="1:10" ht="26.4" x14ac:dyDescent="0.3">
      <c r="A16" s="21" t="s">
        <v>470</v>
      </c>
      <c r="B16" s="34" t="s">
        <v>471</v>
      </c>
      <c r="C16" s="34" t="s">
        <v>466</v>
      </c>
      <c r="D16" s="44">
        <f>'Financial Inputs'!$D$22</f>
        <v>121172.95</v>
      </c>
      <c r="E16" s="44">
        <f>'Debt Maturity &amp; Liquidity'!F20</f>
        <v>121521.26</v>
      </c>
      <c r="F16" s="32">
        <f t="shared" si="0"/>
        <v>348.30999999999767</v>
      </c>
      <c r="G16" s="24" t="str">
        <f t="shared" si="1"/>
        <v>FLAG</v>
      </c>
      <c r="H16" s="28" t="s">
        <v>467</v>
      </c>
      <c r="I16" s="34" t="s">
        <v>468</v>
      </c>
      <c r="J16" s="21" t="s">
        <v>469</v>
      </c>
    </row>
    <row r="17" spans="1:10" ht="26.4" x14ac:dyDescent="0.3">
      <c r="A17" s="21" t="s">
        <v>472</v>
      </c>
      <c r="B17" s="34" t="s">
        <v>473</v>
      </c>
      <c r="C17" s="34" t="s">
        <v>466</v>
      </c>
      <c r="D17" s="44">
        <f>'Financial Inputs'!$E$22</f>
        <v>129614.5</v>
      </c>
      <c r="E17" s="44">
        <f>'Debt Maturity &amp; Liquidity'!F8</f>
        <v>129699.54</v>
      </c>
      <c r="F17" s="32">
        <f t="shared" si="0"/>
        <v>85.039999999993597</v>
      </c>
      <c r="G17" s="24" t="str">
        <f t="shared" si="1"/>
        <v>FLAG</v>
      </c>
      <c r="H17" s="28" t="s">
        <v>474</v>
      </c>
      <c r="I17" s="34" t="s">
        <v>468</v>
      </c>
      <c r="J17" s="21" t="s">
        <v>469</v>
      </c>
    </row>
    <row r="18" spans="1:10" ht="26.4" x14ac:dyDescent="0.3">
      <c r="A18" s="21" t="s">
        <v>475</v>
      </c>
      <c r="B18" s="34" t="s">
        <v>476</v>
      </c>
      <c r="C18" s="34" t="s">
        <v>477</v>
      </c>
      <c r="D18" s="44">
        <f>'Financial Inputs'!$C$8</f>
        <v>141254.69</v>
      </c>
      <c r="E18" s="44">
        <f>'Financial Inputs'!$C$6+'Financial Inputs'!$C$7</f>
        <v>141254.69</v>
      </c>
      <c r="F18" s="32">
        <f t="shared" si="0"/>
        <v>0</v>
      </c>
      <c r="G18" s="24" t="str">
        <f t="shared" si="1"/>
        <v>OK</v>
      </c>
      <c r="H18" s="28" t="s">
        <v>478</v>
      </c>
      <c r="I18" s="34" t="s">
        <v>479</v>
      </c>
      <c r="J18" s="21" t="s">
        <v>469</v>
      </c>
    </row>
    <row r="19" spans="1:10" ht="26.4" x14ac:dyDescent="0.3">
      <c r="A19" s="21" t="s">
        <v>480</v>
      </c>
      <c r="B19" s="34" t="s">
        <v>481</v>
      </c>
      <c r="C19" s="34" t="s">
        <v>477</v>
      </c>
      <c r="D19" s="44">
        <f>'Financial Inputs'!$D$8</f>
        <v>161391.87</v>
      </c>
      <c r="E19" s="44">
        <f>'Financial Inputs'!$D$6+'Financial Inputs'!$D$7</f>
        <v>161391.87</v>
      </c>
      <c r="F19" s="32">
        <f t="shared" si="0"/>
        <v>0</v>
      </c>
      <c r="G19" s="24" t="str">
        <f t="shared" si="1"/>
        <v>OK</v>
      </c>
      <c r="H19" s="28" t="s">
        <v>478</v>
      </c>
      <c r="I19" s="34" t="s">
        <v>479</v>
      </c>
      <c r="J19" s="21" t="s">
        <v>469</v>
      </c>
    </row>
    <row r="20" spans="1:10" ht="34.200000000000003" x14ac:dyDescent="0.3">
      <c r="A20" s="21" t="s">
        <v>482</v>
      </c>
      <c r="B20" s="34" t="s">
        <v>483</v>
      </c>
      <c r="C20" s="34" t="s">
        <v>477</v>
      </c>
      <c r="D20" s="44">
        <f>'Financial Inputs'!$E$8</f>
        <v>202084.34</v>
      </c>
      <c r="E20" s="44">
        <f>'Financial Inputs'!$E$6+'Financial Inputs'!$E$7</f>
        <v>201238.57</v>
      </c>
      <c r="F20" s="32">
        <f t="shared" si="0"/>
        <v>-845.76999999998952</v>
      </c>
      <c r="G20" s="24" t="str">
        <f t="shared" si="1"/>
        <v>FLAG</v>
      </c>
      <c r="H20" s="28" t="s">
        <v>484</v>
      </c>
      <c r="I20" s="34" t="s">
        <v>468</v>
      </c>
      <c r="J20" s="21" t="s">
        <v>469</v>
      </c>
    </row>
    <row r="21" spans="1:10" ht="26.4" x14ac:dyDescent="0.3">
      <c r="A21" s="21" t="s">
        <v>485</v>
      </c>
      <c r="B21" s="34" t="s">
        <v>486</v>
      </c>
      <c r="C21" s="34" t="s">
        <v>487</v>
      </c>
      <c r="D21" s="44">
        <f>'Financial Inputs'!$C$6</f>
        <v>139078.26999999999</v>
      </c>
      <c r="E21" s="44">
        <f>'Segment Analysis'!B11</f>
        <v>139078.26999999999</v>
      </c>
      <c r="F21" s="32">
        <f t="shared" si="0"/>
        <v>0</v>
      </c>
      <c r="G21" s="24" t="str">
        <f t="shared" si="1"/>
        <v>OK</v>
      </c>
      <c r="H21" s="28" t="s">
        <v>478</v>
      </c>
      <c r="I21" s="34" t="s">
        <v>479</v>
      </c>
      <c r="J21" s="21" t="s">
        <v>469</v>
      </c>
    </row>
    <row r="22" spans="1:10" ht="26.4" x14ac:dyDescent="0.3">
      <c r="A22" s="21" t="s">
        <v>488</v>
      </c>
      <c r="B22" s="34" t="s">
        <v>489</v>
      </c>
      <c r="C22" s="34" t="s">
        <v>487</v>
      </c>
      <c r="D22" s="44">
        <f>'Financial Inputs'!$D$6</f>
        <v>159210.82</v>
      </c>
      <c r="E22" s="44">
        <f>'Segment Analysis'!C11</f>
        <v>159210.82</v>
      </c>
      <c r="F22" s="32">
        <f t="shared" si="0"/>
        <v>0</v>
      </c>
      <c r="G22" s="24" t="str">
        <f t="shared" si="1"/>
        <v>OK</v>
      </c>
      <c r="H22" s="28" t="s">
        <v>478</v>
      </c>
      <c r="I22" s="34" t="s">
        <v>479</v>
      </c>
      <c r="J22" s="21" t="s">
        <v>469</v>
      </c>
    </row>
    <row r="23" spans="1:10" ht="26.4" x14ac:dyDescent="0.3">
      <c r="A23" s="21" t="s">
        <v>490</v>
      </c>
      <c r="B23" s="34" t="s">
        <v>491</v>
      </c>
      <c r="C23" s="34" t="s">
        <v>487</v>
      </c>
      <c r="D23" s="44">
        <f>'Financial Inputs'!$E$6</f>
        <v>197792.78</v>
      </c>
      <c r="E23" s="44">
        <f>'Segment Analysis'!D11</f>
        <v>198638.55</v>
      </c>
      <c r="F23" s="32">
        <f t="shared" si="0"/>
        <v>845.76999999998952</v>
      </c>
      <c r="G23" s="24" t="str">
        <f t="shared" si="1"/>
        <v>FLAG</v>
      </c>
      <c r="H23" s="28" t="s">
        <v>492</v>
      </c>
      <c r="I23" s="34" t="s">
        <v>468</v>
      </c>
      <c r="J23" s="21" t="s">
        <v>469</v>
      </c>
    </row>
    <row r="24" spans="1:10" ht="26.4" x14ac:dyDescent="0.3">
      <c r="A24" s="21" t="s">
        <v>493</v>
      </c>
      <c r="B24" s="34" t="s">
        <v>494</v>
      </c>
      <c r="C24" s="34" t="s">
        <v>477</v>
      </c>
      <c r="D24" s="44">
        <f>'Financial Inputs'!$C$12</f>
        <v>14856.36</v>
      </c>
      <c r="E24" s="44">
        <f>'Financial Inputs'!$C$8-'Financial Inputs'!$C$10+N('Financial Inputs'!$C$11)</f>
        <v>14856.36</v>
      </c>
      <c r="F24" s="32">
        <f t="shared" si="0"/>
        <v>0</v>
      </c>
      <c r="G24" s="24" t="str">
        <f t="shared" si="1"/>
        <v>OK</v>
      </c>
      <c r="H24" s="28" t="s">
        <v>495</v>
      </c>
      <c r="I24" s="34" t="s">
        <v>479</v>
      </c>
      <c r="J24" s="21" t="s">
        <v>469</v>
      </c>
    </row>
    <row r="25" spans="1:10" ht="26.4" x14ac:dyDescent="0.3">
      <c r="A25" s="21" t="s">
        <v>496</v>
      </c>
      <c r="B25" s="34" t="s">
        <v>497</v>
      </c>
      <c r="C25" s="34" t="s">
        <v>477</v>
      </c>
      <c r="D25" s="44">
        <f>'Financial Inputs'!$D$12</f>
        <v>17542.2</v>
      </c>
      <c r="E25" s="44">
        <f>'Financial Inputs'!$D$8-'Financial Inputs'!$D$10+N('Financial Inputs'!$D$11)</f>
        <v>17542.199999999983</v>
      </c>
      <c r="F25" s="32">
        <f t="shared" si="0"/>
        <v>0</v>
      </c>
      <c r="G25" s="24" t="str">
        <f t="shared" si="1"/>
        <v>OK</v>
      </c>
      <c r="H25" s="28" t="s">
        <v>478</v>
      </c>
      <c r="I25" s="34" t="s">
        <v>479</v>
      </c>
      <c r="J25" s="21" t="s">
        <v>469</v>
      </c>
    </row>
    <row r="26" spans="1:10" ht="26.4" x14ac:dyDescent="0.3">
      <c r="A26" s="21" t="s">
        <v>498</v>
      </c>
      <c r="B26" s="34" t="s">
        <v>499</v>
      </c>
      <c r="C26" s="34" t="s">
        <v>477</v>
      </c>
      <c r="D26" s="44">
        <f>'Financial Inputs'!$E$12</f>
        <v>23219.85</v>
      </c>
      <c r="E26" s="44">
        <f>'Financial Inputs'!$E$8-'Financial Inputs'!$E$10+N('Financial Inputs'!$E$11)</f>
        <v>23219.850000000009</v>
      </c>
      <c r="F26" s="32">
        <f t="shared" si="0"/>
        <v>0</v>
      </c>
      <c r="G26" s="24" t="str">
        <f t="shared" si="1"/>
        <v>OK</v>
      </c>
      <c r="H26" s="28" t="s">
        <v>478</v>
      </c>
      <c r="I26" s="34" t="s">
        <v>479</v>
      </c>
      <c r="J26" s="21" t="s">
        <v>469</v>
      </c>
    </row>
    <row r="27" spans="1:10" ht="26.4" x14ac:dyDescent="0.3">
      <c r="A27" s="21" t="s">
        <v>500</v>
      </c>
      <c r="B27" s="34" t="s">
        <v>501</v>
      </c>
      <c r="C27" s="34" t="s">
        <v>477</v>
      </c>
      <c r="D27" s="44">
        <f>'Financial Inputs'!$C$15</f>
        <v>15977.79</v>
      </c>
      <c r="E27" s="44">
        <f>'Financial Inputs'!$C$12+'Financial Inputs'!$C$14</f>
        <v>15977.79</v>
      </c>
      <c r="F27" s="32">
        <f t="shared" si="0"/>
        <v>0</v>
      </c>
      <c r="G27" s="24" t="str">
        <f t="shared" si="1"/>
        <v>OK</v>
      </c>
      <c r="H27" s="28" t="s">
        <v>478</v>
      </c>
      <c r="I27" s="34" t="s">
        <v>479</v>
      </c>
      <c r="J27" s="21" t="s">
        <v>469</v>
      </c>
    </row>
    <row r="28" spans="1:10" ht="26.4" x14ac:dyDescent="0.3">
      <c r="A28" s="21" t="s">
        <v>502</v>
      </c>
      <c r="B28" s="34" t="s">
        <v>503</v>
      </c>
      <c r="C28" s="34" t="s">
        <v>477</v>
      </c>
      <c r="D28" s="44">
        <f>'Financial Inputs'!$D$15</f>
        <v>19079.62</v>
      </c>
      <c r="E28" s="44">
        <f>'Financial Inputs'!$D$12+'Financial Inputs'!$D$14</f>
        <v>19079.620000000003</v>
      </c>
      <c r="F28" s="32">
        <f t="shared" si="0"/>
        <v>0</v>
      </c>
      <c r="G28" s="24" t="str">
        <f t="shared" si="1"/>
        <v>OK</v>
      </c>
      <c r="H28" s="28" t="s">
        <v>478</v>
      </c>
      <c r="I28" s="34" t="s">
        <v>479</v>
      </c>
      <c r="J28" s="21" t="s">
        <v>469</v>
      </c>
    </row>
    <row r="29" spans="1:10" ht="26.4" x14ac:dyDescent="0.3">
      <c r="A29" s="21" t="s">
        <v>504</v>
      </c>
      <c r="B29" s="34" t="s">
        <v>505</v>
      </c>
      <c r="C29" s="34" t="s">
        <v>477</v>
      </c>
      <c r="D29" s="44">
        <f>'Financial Inputs'!$E$15</f>
        <v>25184.76</v>
      </c>
      <c r="E29" s="44">
        <f>'Financial Inputs'!$E$12+'Financial Inputs'!$E$14</f>
        <v>25184.76</v>
      </c>
      <c r="F29" s="32">
        <f t="shared" si="0"/>
        <v>0</v>
      </c>
      <c r="G29" s="24" t="str">
        <f t="shared" si="1"/>
        <v>OK</v>
      </c>
      <c r="H29" s="28" t="s">
        <v>478</v>
      </c>
      <c r="I29" s="34" t="s">
        <v>479</v>
      </c>
      <c r="J29" s="21" t="s">
        <v>469</v>
      </c>
    </row>
    <row r="30" spans="1:10" ht="26.4" x14ac:dyDescent="0.3">
      <c r="A30" s="21" t="s">
        <v>506</v>
      </c>
      <c r="B30" s="34" t="s">
        <v>507</v>
      </c>
      <c r="C30" s="34" t="s">
        <v>477</v>
      </c>
      <c r="D30" s="44">
        <f>'Financial Inputs'!$C$22</f>
        <v>103203.23</v>
      </c>
      <c r="E30" s="44">
        <f>'Financial Inputs'!$C$20+'Financial Inputs'!$C$21</f>
        <v>103203.23000000001</v>
      </c>
      <c r="F30" s="32">
        <f t="shared" si="0"/>
        <v>0</v>
      </c>
      <c r="G30" s="24" t="str">
        <f t="shared" si="1"/>
        <v>OK</v>
      </c>
      <c r="H30" s="28" t="s">
        <v>478</v>
      </c>
      <c r="I30" s="34" t="s">
        <v>479</v>
      </c>
      <c r="J30" s="21" t="s">
        <v>469</v>
      </c>
    </row>
    <row r="31" spans="1:10" ht="26.4" x14ac:dyDescent="0.3">
      <c r="A31" s="21" t="s">
        <v>508</v>
      </c>
      <c r="B31" s="34" t="s">
        <v>509</v>
      </c>
      <c r="C31" s="34" t="s">
        <v>477</v>
      </c>
      <c r="D31" s="44">
        <f>'Financial Inputs'!$D$22</f>
        <v>121172.95</v>
      </c>
      <c r="E31" s="44">
        <f>'Financial Inputs'!$D$20+'Financial Inputs'!$D$21</f>
        <v>121172.95000000001</v>
      </c>
      <c r="F31" s="32">
        <f t="shared" si="0"/>
        <v>0</v>
      </c>
      <c r="G31" s="24" t="str">
        <f t="shared" si="1"/>
        <v>OK</v>
      </c>
      <c r="H31" s="28" t="s">
        <v>478</v>
      </c>
      <c r="I31" s="34" t="s">
        <v>479</v>
      </c>
      <c r="J31" s="21" t="s">
        <v>469</v>
      </c>
    </row>
    <row r="32" spans="1:10" ht="26.4" x14ac:dyDescent="0.3">
      <c r="A32" s="21" t="s">
        <v>510</v>
      </c>
      <c r="B32" s="34" t="s">
        <v>511</v>
      </c>
      <c r="C32" s="34" t="s">
        <v>477</v>
      </c>
      <c r="D32" s="44">
        <f>'Financial Inputs'!$E$22</f>
        <v>129614.5</v>
      </c>
      <c r="E32" s="44">
        <f>'Financial Inputs'!$E$20+'Financial Inputs'!$E$21</f>
        <v>129614.5</v>
      </c>
      <c r="F32" s="32">
        <f t="shared" si="0"/>
        <v>0</v>
      </c>
      <c r="G32" s="24" t="str">
        <f t="shared" si="1"/>
        <v>OK</v>
      </c>
      <c r="H32" s="28" t="s">
        <v>478</v>
      </c>
      <c r="I32" s="34" t="s">
        <v>479</v>
      </c>
      <c r="J32" s="21" t="s">
        <v>469</v>
      </c>
    </row>
    <row r="33" spans="1:10" ht="26.4" x14ac:dyDescent="0.3">
      <c r="A33" s="21" t="s">
        <v>512</v>
      </c>
      <c r="B33" s="34" t="s">
        <v>513</v>
      </c>
      <c r="C33" s="34" t="s">
        <v>477</v>
      </c>
      <c r="D33" s="44">
        <f>'Financial Inputs'!$D$21</f>
        <v>41465.760000000002</v>
      </c>
      <c r="E33" s="44">
        <f>'Financial Inputs'!$D$27+'Financial Inputs'!$D$28</f>
        <v>41465.760000000002</v>
      </c>
      <c r="F33" s="32">
        <f t="shared" si="0"/>
        <v>0</v>
      </c>
      <c r="G33" s="24" t="str">
        <f t="shared" si="1"/>
        <v>OK</v>
      </c>
      <c r="H33" s="28" t="s">
        <v>478</v>
      </c>
      <c r="I33" s="34" t="s">
        <v>479</v>
      </c>
      <c r="J33" s="21" t="s">
        <v>469</v>
      </c>
    </row>
    <row r="34" spans="1:10" ht="26.4" x14ac:dyDescent="0.3">
      <c r="A34" s="21" t="s">
        <v>514</v>
      </c>
      <c r="B34" s="34" t="s">
        <v>515</v>
      </c>
      <c r="C34" s="34" t="s">
        <v>477</v>
      </c>
      <c r="D34" s="44">
        <f>'Financial Inputs'!$E$21</f>
        <v>56144.57</v>
      </c>
      <c r="E34" s="44">
        <f>'Financial Inputs'!$E$27+'Financial Inputs'!$E$28</f>
        <v>56144.57</v>
      </c>
      <c r="F34" s="32">
        <f t="shared" si="0"/>
        <v>0</v>
      </c>
      <c r="G34" s="24" t="str">
        <f t="shared" si="1"/>
        <v>OK</v>
      </c>
      <c r="H34" s="28" t="s">
        <v>478</v>
      </c>
      <c r="I34" s="34" t="s">
        <v>479</v>
      </c>
      <c r="J34" s="21" t="s">
        <v>469</v>
      </c>
    </row>
    <row r="35" spans="1:10" ht="45.6" x14ac:dyDescent="0.3">
      <c r="A35" s="21" t="s">
        <v>516</v>
      </c>
      <c r="B35" s="34" t="s">
        <v>517</v>
      </c>
      <c r="C35" s="34" t="s">
        <v>477</v>
      </c>
      <c r="D35" s="44">
        <f>'Financial Inputs'!$C$32</f>
        <v>3493.41</v>
      </c>
      <c r="E35" s="44">
        <f>'Financial Inputs'!$C$29+'Financial Inputs'!$C$30+'Financial Inputs'!$C$31</f>
        <v>1053.6899999999987</v>
      </c>
      <c r="F35" s="32">
        <f t="shared" si="0"/>
        <v>-2439.7200000000012</v>
      </c>
      <c r="G35" s="24" t="str">
        <f t="shared" si="1"/>
        <v>FLAG</v>
      </c>
      <c r="H35" s="28" t="s">
        <v>518</v>
      </c>
      <c r="I35" s="34" t="s">
        <v>468</v>
      </c>
      <c r="J35" s="21" t="s">
        <v>469</v>
      </c>
    </row>
    <row r="36" spans="1:10" ht="26.4" x14ac:dyDescent="0.3">
      <c r="A36" s="21" t="s">
        <v>519</v>
      </c>
      <c r="B36" s="34" t="s">
        <v>520</v>
      </c>
      <c r="C36" s="34" t="s">
        <v>477</v>
      </c>
      <c r="D36" s="44">
        <f>'Financial Inputs'!$D$32</f>
        <v>383.81</v>
      </c>
      <c r="E36" s="44">
        <f>'Financial Inputs'!$D$29+'Financial Inputs'!$D$30+'Financial Inputs'!$D$31</f>
        <v>383.81000000000131</v>
      </c>
      <c r="F36" s="32">
        <f t="shared" si="0"/>
        <v>1.3073986337985843E-12</v>
      </c>
      <c r="G36" s="24" t="str">
        <f t="shared" si="1"/>
        <v>OK</v>
      </c>
      <c r="H36" s="28" t="s">
        <v>478</v>
      </c>
      <c r="I36" s="34" t="s">
        <v>479</v>
      </c>
      <c r="J36" s="21" t="s">
        <v>469</v>
      </c>
    </row>
    <row r="37" spans="1:10" ht="26.4" x14ac:dyDescent="0.3">
      <c r="A37" s="21" t="s">
        <v>521</v>
      </c>
      <c r="B37" s="34" t="s">
        <v>522</v>
      </c>
      <c r="C37" s="34" t="s">
        <v>477</v>
      </c>
      <c r="D37" s="44">
        <f>'Financial Inputs'!$E$32</f>
        <v>-658.99</v>
      </c>
      <c r="E37" s="44">
        <f>'Financial Inputs'!$E$29+'Financial Inputs'!$E$30+'Financial Inputs'!$E$31</f>
        <v>-658.98999999999887</v>
      </c>
      <c r="F37" s="32">
        <f t="shared" si="0"/>
        <v>1.1368683772161603E-12</v>
      </c>
      <c r="G37" s="24" t="str">
        <f t="shared" si="1"/>
        <v>OK</v>
      </c>
      <c r="H37" s="28" t="s">
        <v>478</v>
      </c>
      <c r="I37" s="34" t="s">
        <v>479</v>
      </c>
      <c r="J37" s="21" t="s">
        <v>469</v>
      </c>
    </row>
    <row r="38" spans="1:10" ht="26.4" x14ac:dyDescent="0.3">
      <c r="A38" s="21" t="s">
        <v>523</v>
      </c>
      <c r="B38" s="34" t="s">
        <v>524</v>
      </c>
      <c r="C38" s="34" t="s">
        <v>477</v>
      </c>
      <c r="D38" s="44">
        <f>'Financial Inputs'!$D$32</f>
        <v>383.81</v>
      </c>
      <c r="E38" s="44">
        <f>'Financial Inputs'!$D$23-'Financial Inputs'!$C$23</f>
        <v>393.78999999999996</v>
      </c>
      <c r="F38" s="32">
        <f t="shared" si="0"/>
        <v>9.9799999999999613</v>
      </c>
      <c r="G38" s="24" t="str">
        <f>IF(ABS(F38)&lt;=$C$13,"OK","INFO")</f>
        <v>INFO</v>
      </c>
      <c r="H38" s="28" t="s">
        <v>525</v>
      </c>
      <c r="I38" s="34" t="s">
        <v>526</v>
      </c>
      <c r="J38" s="21" t="s">
        <v>469</v>
      </c>
    </row>
    <row r="39" spans="1:10" ht="26.4" x14ac:dyDescent="0.3">
      <c r="A39" s="21" t="s">
        <v>527</v>
      </c>
      <c r="B39" s="34" t="s">
        <v>528</v>
      </c>
      <c r="C39" s="34" t="s">
        <v>477</v>
      </c>
      <c r="D39" s="44">
        <f>'Financial Inputs'!$E$32</f>
        <v>-658.99</v>
      </c>
      <c r="E39" s="44">
        <f>'Financial Inputs'!$E$23-'Financial Inputs'!$D$23</f>
        <v>-631.65000000000055</v>
      </c>
      <c r="F39" s="32">
        <f t="shared" si="0"/>
        <v>27.339999999999463</v>
      </c>
      <c r="G39" s="24" t="str">
        <f>IF(ABS(F39)&lt;=$C$13,"OK","INFO")</f>
        <v>INFO</v>
      </c>
      <c r="H39" s="28" t="s">
        <v>525</v>
      </c>
      <c r="I39" s="34" t="s">
        <v>526</v>
      </c>
      <c r="J39" s="21" t="s">
        <v>469</v>
      </c>
    </row>
    <row r="40" spans="1:10" ht="26.4" x14ac:dyDescent="0.3">
      <c r="A40" s="21" t="s">
        <v>529</v>
      </c>
      <c r="B40" s="34" t="s">
        <v>530</v>
      </c>
      <c r="C40" s="34" t="s">
        <v>487</v>
      </c>
      <c r="D40" s="44">
        <f>0</f>
        <v>0</v>
      </c>
      <c r="E40" s="44">
        <f>SUMPRODUCT(ABS('Segment Analysis'!B13:D13))</f>
        <v>0</v>
      </c>
      <c r="F40" s="32">
        <f t="shared" si="0"/>
        <v>0</v>
      </c>
      <c r="G40" s="24" t="str">
        <f t="shared" ref="G40:G58" si="2">IF(ABS(F40)&lt;=$C$13,"OK","FLAG")</f>
        <v>OK</v>
      </c>
      <c r="H40" s="28" t="s">
        <v>478</v>
      </c>
      <c r="I40" s="34" t="s">
        <v>479</v>
      </c>
      <c r="J40" s="21" t="s">
        <v>469</v>
      </c>
    </row>
    <row r="41" spans="1:10" ht="26.4" x14ac:dyDescent="0.3">
      <c r="A41" s="21" t="s">
        <v>531</v>
      </c>
      <c r="B41" s="34" t="s">
        <v>532</v>
      </c>
      <c r="C41" s="34" t="s">
        <v>487</v>
      </c>
      <c r="D41" s="44">
        <f>0</f>
        <v>0</v>
      </c>
      <c r="E41" s="44">
        <f>SUMPRODUCT(ABS('Segment Analysis'!B23:D23))</f>
        <v>0</v>
      </c>
      <c r="F41" s="32">
        <f t="shared" si="0"/>
        <v>0</v>
      </c>
      <c r="G41" s="24" t="str">
        <f t="shared" si="2"/>
        <v>OK</v>
      </c>
      <c r="H41" s="28" t="s">
        <v>478</v>
      </c>
      <c r="I41" s="34" t="s">
        <v>479</v>
      </c>
      <c r="J41" s="21" t="s">
        <v>469</v>
      </c>
    </row>
    <row r="42" spans="1:10" ht="26.4" x14ac:dyDescent="0.3">
      <c r="A42" s="21" t="s">
        <v>533</v>
      </c>
      <c r="B42" s="34" t="s">
        <v>534</v>
      </c>
      <c r="C42" s="34" t="s">
        <v>487</v>
      </c>
      <c r="D42" s="44">
        <f>0</f>
        <v>0</v>
      </c>
      <c r="E42" s="44">
        <f>SUMPRODUCT(ABS('Segment Analysis'!B33:D33))</f>
        <v>0</v>
      </c>
      <c r="F42" s="32">
        <f t="shared" si="0"/>
        <v>0</v>
      </c>
      <c r="G42" s="24" t="str">
        <f t="shared" si="2"/>
        <v>OK</v>
      </c>
      <c r="H42" s="28" t="s">
        <v>478</v>
      </c>
      <c r="I42" s="34" t="s">
        <v>479</v>
      </c>
      <c r="J42" s="21" t="s">
        <v>469</v>
      </c>
    </row>
    <row r="43" spans="1:10" ht="26.4" x14ac:dyDescent="0.3">
      <c r="A43" s="21" t="s">
        <v>535</v>
      </c>
      <c r="B43" s="34" t="s">
        <v>536</v>
      </c>
      <c r="C43" s="34" t="s">
        <v>487</v>
      </c>
      <c r="D43" s="44">
        <f>0</f>
        <v>0</v>
      </c>
      <c r="E43" s="44">
        <f>SUMPRODUCT(ABS('Segment Analysis'!B43:D43))</f>
        <v>0</v>
      </c>
      <c r="F43" s="32">
        <f t="shared" si="0"/>
        <v>0</v>
      </c>
      <c r="G43" s="24" t="str">
        <f t="shared" si="2"/>
        <v>OK</v>
      </c>
      <c r="H43" s="28" t="s">
        <v>478</v>
      </c>
      <c r="I43" s="34" t="s">
        <v>479</v>
      </c>
      <c r="J43" s="21" t="s">
        <v>469</v>
      </c>
    </row>
    <row r="44" spans="1:10" ht="26.4" x14ac:dyDescent="0.3">
      <c r="A44" s="21" t="s">
        <v>537</v>
      </c>
      <c r="B44" s="34" t="s">
        <v>538</v>
      </c>
      <c r="C44" s="34" t="s">
        <v>466</v>
      </c>
      <c r="D44" s="44">
        <f>0</f>
        <v>0</v>
      </c>
      <c r="E44" s="44">
        <f>SUMPRODUCT(ABS('Debt Maturity &amp; Liquidity'!B16:E16))</f>
        <v>0</v>
      </c>
      <c r="F44" s="32">
        <f t="shared" si="0"/>
        <v>0</v>
      </c>
      <c r="G44" s="24" t="str">
        <f t="shared" si="2"/>
        <v>OK</v>
      </c>
      <c r="H44" s="28" t="s">
        <v>478</v>
      </c>
      <c r="I44" s="34" t="s">
        <v>479</v>
      </c>
      <c r="J44" s="21" t="s">
        <v>469</v>
      </c>
    </row>
    <row r="45" spans="1:10" ht="26.4" x14ac:dyDescent="0.3">
      <c r="A45" s="21" t="s">
        <v>539</v>
      </c>
      <c r="B45" s="34" t="s">
        <v>540</v>
      </c>
      <c r="C45" s="34" t="s">
        <v>466</v>
      </c>
      <c r="D45" s="44">
        <f>0</f>
        <v>0</v>
      </c>
      <c r="E45" s="44">
        <f>SUMPRODUCT(ABS('Debt Maturity &amp; Liquidity'!B28:E28))</f>
        <v>0</v>
      </c>
      <c r="F45" s="32">
        <f t="shared" si="0"/>
        <v>0</v>
      </c>
      <c r="G45" s="24" t="str">
        <f t="shared" si="2"/>
        <v>OK</v>
      </c>
      <c r="H45" s="28" t="s">
        <v>478</v>
      </c>
      <c r="I45" s="34" t="s">
        <v>479</v>
      </c>
      <c r="J45" s="21" t="s">
        <v>469</v>
      </c>
    </row>
    <row r="46" spans="1:10" ht="26.4" x14ac:dyDescent="0.3">
      <c r="A46" s="21" t="s">
        <v>541</v>
      </c>
      <c r="B46" s="34" t="s">
        <v>542</v>
      </c>
      <c r="C46" s="34" t="s">
        <v>466</v>
      </c>
      <c r="D46" s="44">
        <f>0</f>
        <v>0</v>
      </c>
      <c r="E46" s="44">
        <f>SUMPRODUCT(ABS('Debt Maturity &amp; Liquidity'!B40:E40))</f>
        <v>0</v>
      </c>
      <c r="F46" s="32">
        <f t="shared" si="0"/>
        <v>0</v>
      </c>
      <c r="G46" s="24" t="str">
        <f t="shared" si="2"/>
        <v>OK</v>
      </c>
      <c r="H46" s="28" t="s">
        <v>478</v>
      </c>
      <c r="I46" s="34" t="s">
        <v>479</v>
      </c>
      <c r="J46" s="21" t="s">
        <v>469</v>
      </c>
    </row>
    <row r="47" spans="1:10" ht="26.4" x14ac:dyDescent="0.3">
      <c r="A47" s="21" t="s">
        <v>543</v>
      </c>
      <c r="B47" s="34" t="s">
        <v>544</v>
      </c>
      <c r="C47" s="34" t="s">
        <v>545</v>
      </c>
      <c r="D47" s="44">
        <f>'Fin Services Asset Quality'!C10</f>
        <v>124387.98</v>
      </c>
      <c r="E47" s="44">
        <f>'Fin Services Asset Quality'!C7+'Fin Services Asset Quality'!C8+'Fin Services Asset Quality'!C9</f>
        <v>124387.98000000001</v>
      </c>
      <c r="F47" s="32">
        <f t="shared" si="0"/>
        <v>0</v>
      </c>
      <c r="G47" s="24" t="str">
        <f t="shared" si="2"/>
        <v>OK</v>
      </c>
      <c r="H47" s="28" t="s">
        <v>478</v>
      </c>
      <c r="I47" s="34" t="s">
        <v>479</v>
      </c>
      <c r="J47" s="21" t="s">
        <v>469</v>
      </c>
    </row>
    <row r="48" spans="1:10" ht="26.4" x14ac:dyDescent="0.3">
      <c r="A48" s="21" t="s">
        <v>546</v>
      </c>
      <c r="B48" s="34" t="s">
        <v>547</v>
      </c>
      <c r="C48" s="34" t="s">
        <v>545</v>
      </c>
      <c r="D48" s="44">
        <f>'Fin Services Asset Quality'!D10</f>
        <v>140241.42000000001</v>
      </c>
      <c r="E48" s="44">
        <f>'Fin Services Asset Quality'!D7+'Fin Services Asset Quality'!D8+'Fin Services Asset Quality'!D9</f>
        <v>140241.41999999998</v>
      </c>
      <c r="F48" s="32">
        <f t="shared" si="0"/>
        <v>0</v>
      </c>
      <c r="G48" s="24" t="str">
        <f t="shared" si="2"/>
        <v>OK</v>
      </c>
      <c r="H48" s="28" t="s">
        <v>478</v>
      </c>
      <c r="I48" s="34" t="s">
        <v>479</v>
      </c>
      <c r="J48" s="21" t="s">
        <v>469</v>
      </c>
    </row>
    <row r="49" spans="1:10" ht="26.4" x14ac:dyDescent="0.3">
      <c r="A49" s="21" t="s">
        <v>548</v>
      </c>
      <c r="B49" s="34" t="s">
        <v>549</v>
      </c>
      <c r="C49" s="34" t="s">
        <v>545</v>
      </c>
      <c r="D49" s="70">
        <f>'Fin Services Asset Quality'!B17</f>
        <v>0.58069999999999999</v>
      </c>
      <c r="E49" s="70">
        <f>'Fin Services Asset Quality'!B31</f>
        <v>0.58066095294134656</v>
      </c>
      <c r="F49" s="47">
        <f t="shared" ref="F49:F57" si="3">(E49-D49)*100</f>
        <v>-3.9047058653429723E-3</v>
      </c>
      <c r="G49" s="24" t="str">
        <f t="shared" si="2"/>
        <v>OK</v>
      </c>
      <c r="H49" s="28" t="s">
        <v>550</v>
      </c>
      <c r="I49" s="34" t="s">
        <v>479</v>
      </c>
      <c r="J49" s="21" t="s">
        <v>469</v>
      </c>
    </row>
    <row r="50" spans="1:10" ht="26.4" x14ac:dyDescent="0.3">
      <c r="A50" s="21" t="s">
        <v>551</v>
      </c>
      <c r="B50" s="34" t="s">
        <v>552</v>
      </c>
      <c r="C50" s="34" t="s">
        <v>545</v>
      </c>
      <c r="D50" s="70">
        <f>'Fin Services Asset Quality'!C17</f>
        <v>0.55530000000000002</v>
      </c>
      <c r="E50" s="70">
        <f>'Fin Services Asset Quality'!C31</f>
        <v>0.55532759343152838</v>
      </c>
      <c r="F50" s="47">
        <f t="shared" si="3"/>
        <v>2.7593431528361023E-3</v>
      </c>
      <c r="G50" s="24" t="str">
        <f t="shared" si="2"/>
        <v>OK</v>
      </c>
      <c r="H50" s="28" t="s">
        <v>550</v>
      </c>
      <c r="I50" s="34" t="s">
        <v>479</v>
      </c>
      <c r="J50" s="21" t="s">
        <v>469</v>
      </c>
    </row>
    <row r="51" spans="1:10" ht="26.4" x14ac:dyDescent="0.3">
      <c r="A51" s="21" t="s">
        <v>553</v>
      </c>
      <c r="B51" s="34" t="s">
        <v>554</v>
      </c>
      <c r="C51" s="34" t="s">
        <v>545</v>
      </c>
      <c r="D51" s="70">
        <f>'Fin Services Asset Quality'!D17</f>
        <v>0.5897</v>
      </c>
      <c r="E51" s="70">
        <f>'Fin Services Asset Quality'!D31</f>
        <v>0.58973464999269287</v>
      </c>
      <c r="F51" s="47">
        <f t="shared" si="3"/>
        <v>3.4649992692870057E-3</v>
      </c>
      <c r="G51" s="24" t="str">
        <f t="shared" si="2"/>
        <v>OK</v>
      </c>
      <c r="H51" s="28" t="s">
        <v>550</v>
      </c>
      <c r="I51" s="34" t="s">
        <v>479</v>
      </c>
      <c r="J51" s="21" t="s">
        <v>469</v>
      </c>
    </row>
    <row r="52" spans="1:10" x14ac:dyDescent="0.3">
      <c r="A52" s="21" t="s">
        <v>555</v>
      </c>
      <c r="B52" s="34" t="s">
        <v>556</v>
      </c>
      <c r="C52" s="34" t="s">
        <v>545</v>
      </c>
      <c r="D52" s="70">
        <f>'Fin Services Asset Quality'!B38</f>
        <v>3.8699999999999998E-2</v>
      </c>
      <c r="E52" s="70">
        <f>'Fin Services Asset Quality'!B19</f>
        <v>3.870220847882571E-2</v>
      </c>
      <c r="F52" s="47">
        <f t="shared" si="3"/>
        <v>2.2084788257117904E-4</v>
      </c>
      <c r="G52" s="24" t="str">
        <f t="shared" si="2"/>
        <v>OK</v>
      </c>
      <c r="H52" s="28" t="s">
        <v>557</v>
      </c>
      <c r="I52" s="34" t="s">
        <v>479</v>
      </c>
      <c r="J52" s="21" t="s">
        <v>558</v>
      </c>
    </row>
    <row r="53" spans="1:10" x14ac:dyDescent="0.3">
      <c r="A53" s="21" t="s">
        <v>559</v>
      </c>
      <c r="B53" s="34" t="s">
        <v>560</v>
      </c>
      <c r="C53" s="34" t="s">
        <v>545</v>
      </c>
      <c r="D53" s="70">
        <f>'Fin Services Asset Quality'!C38</f>
        <v>4.07E-2</v>
      </c>
      <c r="E53" s="70">
        <f>'Fin Services Asset Quality'!C19</f>
        <v>4.0673704967312756E-2</v>
      </c>
      <c r="F53" s="47">
        <f t="shared" si="3"/>
        <v>-2.6295032687244368E-3</v>
      </c>
      <c r="G53" s="24" t="str">
        <f t="shared" si="2"/>
        <v>OK</v>
      </c>
      <c r="H53" s="28" t="s">
        <v>557</v>
      </c>
      <c r="I53" s="34" t="s">
        <v>479</v>
      </c>
      <c r="J53" s="21" t="s">
        <v>558</v>
      </c>
    </row>
    <row r="54" spans="1:10" x14ac:dyDescent="0.3">
      <c r="A54" s="21" t="s">
        <v>561</v>
      </c>
      <c r="B54" s="34" t="s">
        <v>562</v>
      </c>
      <c r="C54" s="34" t="s">
        <v>545</v>
      </c>
      <c r="D54" s="70">
        <f>'Fin Services Asset Quality'!D38</f>
        <v>3.4200000000000001E-2</v>
      </c>
      <c r="E54" s="70">
        <f>'Fin Services Asset Quality'!D19</f>
        <v>3.4154674132649249E-2</v>
      </c>
      <c r="F54" s="47">
        <f t="shared" si="3"/>
        <v>-4.5325867350752558E-3</v>
      </c>
      <c r="G54" s="24" t="str">
        <f t="shared" si="2"/>
        <v>OK</v>
      </c>
      <c r="H54" s="28" t="s">
        <v>557</v>
      </c>
      <c r="I54" s="34" t="s">
        <v>479</v>
      </c>
      <c r="J54" s="21" t="s">
        <v>558</v>
      </c>
    </row>
    <row r="55" spans="1:10" x14ac:dyDescent="0.3">
      <c r="A55" s="21" t="s">
        <v>563</v>
      </c>
      <c r="B55" s="34" t="s">
        <v>564</v>
      </c>
      <c r="C55" s="34" t="s">
        <v>545</v>
      </c>
      <c r="D55" s="70">
        <f>'Fin Services Asset Quality'!B39</f>
        <v>1.6799999999999999E-2</v>
      </c>
      <c r="E55" s="70">
        <f>'Fin Services Asset Quality'!B20</f>
        <v>1.6803746496501626E-2</v>
      </c>
      <c r="F55" s="47">
        <f t="shared" si="3"/>
        <v>3.7464965016269225E-4</v>
      </c>
      <c r="G55" s="24" t="str">
        <f t="shared" si="2"/>
        <v>OK</v>
      </c>
      <c r="H55" s="28" t="s">
        <v>557</v>
      </c>
      <c r="I55" s="34" t="s">
        <v>479</v>
      </c>
      <c r="J55" s="21" t="s">
        <v>558</v>
      </c>
    </row>
    <row r="56" spans="1:10" x14ac:dyDescent="0.3">
      <c r="A56" s="21" t="s">
        <v>565</v>
      </c>
      <c r="B56" s="34" t="s">
        <v>566</v>
      </c>
      <c r="C56" s="34" t="s">
        <v>545</v>
      </c>
      <c r="D56" s="70">
        <f>'Fin Services Asset Quality'!C39</f>
        <v>1.8700000000000001E-2</v>
      </c>
      <c r="E56" s="70">
        <f>'Fin Services Asset Quality'!C20</f>
        <v>1.8695137971105443E-2</v>
      </c>
      <c r="F56" s="47">
        <f t="shared" si="3"/>
        <v>-4.8620288945581958E-4</v>
      </c>
      <c r="G56" s="24" t="str">
        <f t="shared" si="2"/>
        <v>OK</v>
      </c>
      <c r="H56" s="28" t="s">
        <v>557</v>
      </c>
      <c r="I56" s="34" t="s">
        <v>479</v>
      </c>
      <c r="J56" s="21" t="s">
        <v>558</v>
      </c>
    </row>
    <row r="57" spans="1:10" x14ac:dyDescent="0.3">
      <c r="A57" s="21" t="s">
        <v>567</v>
      </c>
      <c r="B57" s="34" t="s">
        <v>568</v>
      </c>
      <c r="C57" s="34" t="s">
        <v>545</v>
      </c>
      <c r="D57" s="70">
        <f>'Fin Services Asset Quality'!D39</f>
        <v>1.44E-2</v>
      </c>
      <c r="E57" s="70">
        <f>'Fin Services Asset Quality'!D20</f>
        <v>1.443739609803203E-2</v>
      </c>
      <c r="F57" s="47">
        <f t="shared" si="3"/>
        <v>3.7396098032030714E-3</v>
      </c>
      <c r="G57" s="24" t="str">
        <f t="shared" si="2"/>
        <v>OK</v>
      </c>
      <c r="H57" s="28" t="s">
        <v>557</v>
      </c>
      <c r="I57" s="34" t="s">
        <v>479</v>
      </c>
      <c r="J57" s="21" t="s">
        <v>558</v>
      </c>
    </row>
    <row r="58" spans="1:10" x14ac:dyDescent="0.3">
      <c r="A58" s="21" t="s">
        <v>569</v>
      </c>
      <c r="B58" s="34" t="s">
        <v>570</v>
      </c>
      <c r="C58" s="34" t="s">
        <v>571</v>
      </c>
      <c r="D58" s="44">
        <f>0</f>
        <v>0</v>
      </c>
      <c r="E58" s="44">
        <f>'Financial Ratios'!C23</f>
        <v>0</v>
      </c>
      <c r="F58" s="32">
        <f>E58-D58</f>
        <v>0</v>
      </c>
      <c r="G58" s="24" t="str">
        <f t="shared" si="2"/>
        <v>OK</v>
      </c>
      <c r="H58" s="28" t="s">
        <v>572</v>
      </c>
      <c r="I58" s="34" t="s">
        <v>479</v>
      </c>
      <c r="J58" s="21" t="s">
        <v>573</v>
      </c>
    </row>
    <row r="59" spans="1:10" x14ac:dyDescent="0.3">
      <c r="B59" s="14" t="s">
        <v>574</v>
      </c>
      <c r="G59" s="71">
        <f>COUNTIF(G15:G58,"FLAG")</f>
        <v>6</v>
      </c>
    </row>
    <row r="60" spans="1:10" x14ac:dyDescent="0.3">
      <c r="B60" s="14" t="s">
        <v>575</v>
      </c>
      <c r="G60" s="71">
        <f>COUNTIF(G15:G58,"OK")</f>
        <v>36</v>
      </c>
    </row>
    <row r="62" spans="1:10" x14ac:dyDescent="0.3">
      <c r="A62" s="17" t="s">
        <v>576</v>
      </c>
      <c r="B62" s="18"/>
      <c r="C62" s="18"/>
      <c r="D62" s="18"/>
      <c r="E62" s="18"/>
      <c r="F62" s="18"/>
      <c r="G62" s="18"/>
      <c r="H62" s="18"/>
      <c r="I62" s="18"/>
      <c r="J62" s="18"/>
    </row>
    <row r="63" spans="1:10" ht="30" customHeight="1" x14ac:dyDescent="0.3">
      <c r="A63" s="19" t="s">
        <v>417</v>
      </c>
      <c r="B63" s="20" t="s">
        <v>577</v>
      </c>
      <c r="C63" s="20" t="s">
        <v>578</v>
      </c>
      <c r="D63" s="20"/>
      <c r="E63" s="20"/>
      <c r="F63" s="20"/>
      <c r="G63" s="20"/>
      <c r="H63" s="20" t="s">
        <v>579</v>
      </c>
      <c r="I63" s="20" t="s">
        <v>425</v>
      </c>
      <c r="J63" s="20"/>
    </row>
    <row r="64" spans="1:10" ht="26.4" x14ac:dyDescent="0.3">
      <c r="A64" s="21" t="s">
        <v>580</v>
      </c>
      <c r="B64" s="34" t="s">
        <v>581</v>
      </c>
      <c r="C64" s="34" t="s">
        <v>582</v>
      </c>
      <c r="D64" s="21"/>
      <c r="E64" s="21"/>
      <c r="F64" s="21"/>
      <c r="G64" s="21"/>
      <c r="H64" s="28" t="s">
        <v>583</v>
      </c>
      <c r="I64" s="21" t="s">
        <v>526</v>
      </c>
      <c r="J64" s="21"/>
    </row>
    <row r="65" spans="1:10" x14ac:dyDescent="0.3">
      <c r="A65" s="21" t="s">
        <v>584</v>
      </c>
      <c r="B65" s="34" t="s">
        <v>585</v>
      </c>
      <c r="C65" s="34" t="s">
        <v>466</v>
      </c>
      <c r="D65" s="21"/>
      <c r="E65" s="21"/>
      <c r="F65" s="21"/>
      <c r="G65" s="21"/>
      <c r="H65" s="28" t="s">
        <v>586</v>
      </c>
      <c r="I65" s="21" t="s">
        <v>526</v>
      </c>
      <c r="J65" s="21"/>
    </row>
    <row r="66" spans="1:10" ht="26.4" x14ac:dyDescent="0.3">
      <c r="A66" s="21" t="s">
        <v>587</v>
      </c>
      <c r="B66" s="34" t="s">
        <v>588</v>
      </c>
      <c r="C66" s="34" t="s">
        <v>466</v>
      </c>
      <c r="D66" s="21"/>
      <c r="E66" s="21"/>
      <c r="F66" s="21"/>
      <c r="G66" s="21"/>
      <c r="H66" s="28" t="s">
        <v>589</v>
      </c>
      <c r="I66" s="21" t="s">
        <v>526</v>
      </c>
      <c r="J66" s="21"/>
    </row>
    <row r="67" spans="1:10" ht="22.8" x14ac:dyDescent="0.3">
      <c r="A67" s="21" t="s">
        <v>590</v>
      </c>
      <c r="B67" s="34" t="s">
        <v>591</v>
      </c>
      <c r="C67" s="34" t="s">
        <v>477</v>
      </c>
      <c r="D67" s="21"/>
      <c r="E67" s="21"/>
      <c r="F67" s="21"/>
      <c r="G67" s="21"/>
      <c r="H67" s="28" t="s">
        <v>592</v>
      </c>
      <c r="I67" s="21" t="s">
        <v>526</v>
      </c>
      <c r="J67" s="21"/>
    </row>
    <row r="68" spans="1:10" ht="26.4" x14ac:dyDescent="0.3">
      <c r="A68" s="21" t="s">
        <v>593</v>
      </c>
      <c r="B68" s="34" t="s">
        <v>594</v>
      </c>
      <c r="C68" s="34" t="s">
        <v>545</v>
      </c>
      <c r="D68" s="21"/>
      <c r="E68" s="21"/>
      <c r="F68" s="21"/>
      <c r="G68" s="21"/>
      <c r="H68" s="28" t="s">
        <v>595</v>
      </c>
      <c r="I68" s="21" t="s">
        <v>526</v>
      </c>
      <c r="J68" s="21"/>
    </row>
    <row r="69" spans="1:10" x14ac:dyDescent="0.3">
      <c r="A69" s="21" t="s">
        <v>596</v>
      </c>
      <c r="B69" s="34" t="s">
        <v>597</v>
      </c>
      <c r="C69" s="34" t="s">
        <v>466</v>
      </c>
      <c r="D69" s="21"/>
      <c r="E69" s="21"/>
      <c r="F69" s="21"/>
      <c r="G69" s="21"/>
      <c r="H69" s="28" t="s">
        <v>598</v>
      </c>
      <c r="I69" s="21" t="s">
        <v>526</v>
      </c>
      <c r="J69" s="21"/>
    </row>
    <row r="70" spans="1:10" x14ac:dyDescent="0.3">
      <c r="A70" s="21" t="s">
        <v>599</v>
      </c>
      <c r="B70" s="34" t="s">
        <v>600</v>
      </c>
      <c r="C70" s="34" t="s">
        <v>601</v>
      </c>
      <c r="D70" s="21"/>
      <c r="E70" s="21"/>
      <c r="F70" s="21"/>
      <c r="G70" s="21"/>
      <c r="H70" s="28" t="s">
        <v>589</v>
      </c>
      <c r="I70" s="21" t="s">
        <v>526</v>
      </c>
      <c r="J70" s="21"/>
    </row>
    <row r="71" spans="1:10" ht="26.4" x14ac:dyDescent="0.3">
      <c r="A71" s="21" t="s">
        <v>602</v>
      </c>
      <c r="B71" s="34" t="s">
        <v>603</v>
      </c>
      <c r="C71" s="34" t="s">
        <v>604</v>
      </c>
      <c r="D71" s="21"/>
      <c r="E71" s="21"/>
      <c r="F71" s="21"/>
      <c r="G71" s="21"/>
      <c r="H71" s="28" t="s">
        <v>605</v>
      </c>
      <c r="I71" s="21" t="s">
        <v>526</v>
      </c>
      <c r="J71" s="21"/>
    </row>
    <row r="72" spans="1:10" x14ac:dyDescent="0.3">
      <c r="A72" s="21" t="s">
        <v>606</v>
      </c>
      <c r="B72" s="34" t="s">
        <v>607</v>
      </c>
      <c r="C72" s="34" t="s">
        <v>545</v>
      </c>
      <c r="D72" s="21"/>
      <c r="E72" s="21"/>
      <c r="F72" s="21"/>
      <c r="G72" s="21"/>
      <c r="H72" s="28" t="s">
        <v>608</v>
      </c>
      <c r="I72" s="21" t="s">
        <v>526</v>
      </c>
      <c r="J72" s="21"/>
    </row>
    <row r="73" spans="1:10" x14ac:dyDescent="0.3">
      <c r="A73" s="21" t="s">
        <v>609</v>
      </c>
      <c r="B73" s="34" t="s">
        <v>610</v>
      </c>
      <c r="C73" s="34" t="s">
        <v>487</v>
      </c>
      <c r="D73" s="21"/>
      <c r="E73" s="21"/>
      <c r="F73" s="21"/>
      <c r="G73" s="21"/>
      <c r="H73" s="28" t="s">
        <v>611</v>
      </c>
      <c r="I73" s="21" t="s">
        <v>526</v>
      </c>
      <c r="J73" s="21"/>
    </row>
    <row r="74" spans="1:10" ht="26.4" x14ac:dyDescent="0.3">
      <c r="A74" s="21" t="s">
        <v>612</v>
      </c>
      <c r="B74" s="34" t="s">
        <v>613</v>
      </c>
      <c r="C74" s="34" t="s">
        <v>614</v>
      </c>
      <c r="D74" s="21"/>
      <c r="E74" s="21"/>
      <c r="F74" s="21"/>
      <c r="G74" s="21"/>
      <c r="H74" s="28" t="s">
        <v>615</v>
      </c>
      <c r="I74" s="21" t="s">
        <v>616</v>
      </c>
      <c r="J74" s="21"/>
    </row>
    <row r="75" spans="1:10" x14ac:dyDescent="0.3">
      <c r="A75" s="21" t="s">
        <v>617</v>
      </c>
      <c r="B75" s="34" t="s">
        <v>618</v>
      </c>
      <c r="C75" s="34" t="s">
        <v>466</v>
      </c>
      <c r="D75" s="21"/>
      <c r="E75" s="21"/>
      <c r="F75" s="21"/>
      <c r="G75" s="21"/>
      <c r="H75" s="28" t="s">
        <v>619</v>
      </c>
      <c r="I75" s="21" t="s">
        <v>526</v>
      </c>
      <c r="J75" s="21"/>
    </row>
  </sheetData>
  <autoFilter ref="A14:J58" xr:uid="{00000000-0009-0000-0000-000007000000}"/>
  <mergeCells count="1">
    <mergeCell ref="A10:J10"/>
  </mergeCells>
  <conditionalFormatting sqref="G15:G58">
    <cfRule type="cellIs" dxfId="2" priority="2" operator="equal">
      <formula>"FLAG"</formula>
    </cfRule>
    <cfRule type="cellIs" dxfId="1" priority="3" operator="equal">
      <formula>"OK"</formula>
    </cfRule>
    <cfRule type="cellIs" dxfId="0" priority="4" operator="equal">
      <formula>"INFO"</formula>
    </cfRule>
  </conditionalFormatting>
  <dataValidations count="2">
    <dataValidation type="list" sqref="I6:I9" xr:uid="{00000000-0002-0000-0700-000000000000}">
      <formula1>"Supplied by user – not independently re-checked against source,Verified against source,Discrepancy noted,Open / to do"</formula1>
      <formula2>0</formula2>
    </dataValidation>
    <dataValidation type="list" sqref="I15:I58" xr:uid="{00000000-0002-0000-0700-000001000000}">
      <formula1>"Arithmetic check passed,Flagged – retained as supplied,Informational,Open / to do"</formula1>
      <formula2>0</formula2>
    </dataValidation>
  </dataValidations>
  <hyperlinks>
    <hyperlink ref="J6" r:id="rId1" xr:uid="{00000000-0004-0000-0700-000000000000}"/>
    <hyperlink ref="J7" r:id="rId2" xr:uid="{00000000-0004-0000-0700-000001000000}"/>
    <hyperlink ref="J8" r:id="rId3" xr:uid="{00000000-0004-0000-0700-000002000000}"/>
    <hyperlink ref="J9" r:id="rId4" xr:uid="{00000000-0004-0000-0700-000003000000}"/>
  </hyperlinks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5F5B"/>
    <pageSetUpPr fitToPage="1"/>
  </sheetPr>
  <dimension ref="A1:F4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50" customWidth="1"/>
    <col min="2" max="2" width="26" customWidth="1"/>
    <col min="3" max="3" width="16" customWidth="1"/>
    <col min="4" max="5" width="18" customWidth="1"/>
    <col min="6" max="6" width="78" customWidth="1"/>
  </cols>
  <sheetData>
    <row r="1" spans="1:6" ht="21" x14ac:dyDescent="0.4">
      <c r="A1" s="11" t="s">
        <v>350</v>
      </c>
    </row>
    <row r="2" spans="1:6" x14ac:dyDescent="0.3">
      <c r="A2" s="12" t="s">
        <v>351</v>
      </c>
    </row>
    <row r="3" spans="1:6" x14ac:dyDescent="0.3">
      <c r="A3" s="29" t="s">
        <v>70</v>
      </c>
    </row>
    <row r="5" spans="1:6" x14ac:dyDescent="0.3">
      <c r="A5" s="17" t="s">
        <v>352</v>
      </c>
      <c r="B5" s="18"/>
      <c r="C5" s="18"/>
      <c r="D5" s="18"/>
      <c r="E5" s="18"/>
      <c r="F5" s="18"/>
    </row>
    <row r="6" spans="1:6" ht="30" customHeight="1" x14ac:dyDescent="0.3">
      <c r="A6" s="51" t="s">
        <v>353</v>
      </c>
      <c r="B6" s="52" t="s">
        <v>354</v>
      </c>
      <c r="C6" s="52" t="s">
        <v>355</v>
      </c>
      <c r="D6" s="52" t="s">
        <v>356</v>
      </c>
      <c r="E6" s="52" t="s">
        <v>357</v>
      </c>
      <c r="F6" s="52" t="s">
        <v>182</v>
      </c>
    </row>
    <row r="7" spans="1:6" x14ac:dyDescent="0.3">
      <c r="A7" s="34" t="s">
        <v>358</v>
      </c>
      <c r="B7" s="53" t="s">
        <v>359</v>
      </c>
      <c r="C7" s="53" t="s">
        <v>360</v>
      </c>
      <c r="D7" s="30">
        <v>475</v>
      </c>
      <c r="E7" s="54">
        <v>46283</v>
      </c>
      <c r="F7" s="28" t="s">
        <v>361</v>
      </c>
    </row>
    <row r="8" spans="1:6" x14ac:dyDescent="0.3">
      <c r="A8" s="34" t="s">
        <v>362</v>
      </c>
      <c r="B8" s="53" t="s">
        <v>359</v>
      </c>
      <c r="C8" s="53" t="s">
        <v>360</v>
      </c>
      <c r="D8" s="30">
        <v>500</v>
      </c>
      <c r="E8" s="54">
        <v>46283</v>
      </c>
      <c r="F8" s="28" t="s">
        <v>361</v>
      </c>
    </row>
    <row r="9" spans="1:6" x14ac:dyDescent="0.3">
      <c r="A9" s="34" t="s">
        <v>363</v>
      </c>
      <c r="B9" s="53" t="s">
        <v>364</v>
      </c>
      <c r="C9" s="55" t="s">
        <v>365</v>
      </c>
      <c r="D9" s="30">
        <v>500</v>
      </c>
      <c r="E9" s="54">
        <v>46283</v>
      </c>
      <c r="F9" s="28" t="s">
        <v>366</v>
      </c>
    </row>
    <row r="10" spans="1:6" x14ac:dyDescent="0.3">
      <c r="A10" s="34" t="s">
        <v>367</v>
      </c>
      <c r="B10" s="53" t="s">
        <v>364</v>
      </c>
      <c r="C10" s="55" t="s">
        <v>365</v>
      </c>
      <c r="D10" s="31" t="s">
        <v>86</v>
      </c>
      <c r="E10" s="54">
        <v>46283</v>
      </c>
      <c r="F10" s="28" t="s">
        <v>368</v>
      </c>
    </row>
    <row r="11" spans="1:6" ht="22.8" x14ac:dyDescent="0.3">
      <c r="A11" s="34" t="s">
        <v>369</v>
      </c>
      <c r="B11" s="55" t="s">
        <v>370</v>
      </c>
      <c r="C11" s="55" t="s">
        <v>86</v>
      </c>
      <c r="D11" s="30">
        <v>1087.5</v>
      </c>
      <c r="E11" s="54">
        <v>46283</v>
      </c>
      <c r="F11" s="28" t="s">
        <v>371</v>
      </c>
    </row>
    <row r="12" spans="1:6" ht="15.75" customHeight="1" x14ac:dyDescent="0.3">
      <c r="A12" s="8" t="s">
        <v>372</v>
      </c>
      <c r="B12" s="8"/>
      <c r="C12" s="8"/>
      <c r="D12" s="8"/>
      <c r="E12" s="8"/>
      <c r="F12" s="8"/>
    </row>
    <row r="14" spans="1:6" x14ac:dyDescent="0.3">
      <c r="A14" s="17" t="s">
        <v>373</v>
      </c>
      <c r="B14" s="18"/>
      <c r="C14" s="18"/>
      <c r="D14" s="18"/>
      <c r="E14" s="18"/>
      <c r="F14" s="18"/>
    </row>
    <row r="15" spans="1:6" ht="27.75" customHeight="1" x14ac:dyDescent="0.3">
      <c r="A15" s="8" t="s">
        <v>374</v>
      </c>
      <c r="B15" s="8"/>
      <c r="C15" s="8"/>
      <c r="D15" s="8"/>
      <c r="E15" s="8"/>
      <c r="F15" s="8"/>
    </row>
    <row r="16" spans="1:6" ht="27.75" customHeight="1" x14ac:dyDescent="0.3">
      <c r="A16" s="8" t="s">
        <v>375</v>
      </c>
      <c r="B16" s="8"/>
      <c r="C16" s="8"/>
      <c r="D16" s="8"/>
      <c r="E16" s="8"/>
      <c r="F16" s="8"/>
    </row>
    <row r="17" spans="1:6" ht="27.75" customHeight="1" x14ac:dyDescent="0.3">
      <c r="A17" s="8" t="s">
        <v>376</v>
      </c>
      <c r="B17" s="8"/>
      <c r="C17" s="8"/>
      <c r="D17" s="8"/>
      <c r="E17" s="8"/>
      <c r="F17" s="8"/>
    </row>
    <row r="18" spans="1:6" ht="27.75" customHeight="1" x14ac:dyDescent="0.3">
      <c r="A18" s="8" t="s">
        <v>377</v>
      </c>
      <c r="B18" s="8"/>
      <c r="C18" s="8"/>
      <c r="D18" s="8"/>
      <c r="E18" s="8"/>
      <c r="F18" s="8"/>
    </row>
    <row r="20" spans="1:6" x14ac:dyDescent="0.3">
      <c r="A20" s="56" t="s">
        <v>378</v>
      </c>
      <c r="B20" s="57"/>
      <c r="C20" s="57"/>
      <c r="D20" s="57"/>
      <c r="E20" s="57"/>
      <c r="F20" s="57"/>
    </row>
    <row r="21" spans="1:6" ht="30" customHeight="1" x14ac:dyDescent="0.3">
      <c r="A21" s="10" t="s">
        <v>379</v>
      </c>
      <c r="B21" s="10"/>
      <c r="C21" s="10"/>
      <c r="D21" s="10"/>
      <c r="E21" s="10"/>
      <c r="F21" s="10"/>
    </row>
    <row r="22" spans="1:6" ht="30" customHeight="1" x14ac:dyDescent="0.3">
      <c r="A22" s="51" t="s">
        <v>380</v>
      </c>
      <c r="B22" s="52" t="s">
        <v>15</v>
      </c>
      <c r="C22" s="52" t="s">
        <v>11</v>
      </c>
      <c r="D22" s="52" t="s">
        <v>381</v>
      </c>
      <c r="E22" s="52" t="s">
        <v>73</v>
      </c>
      <c r="F22" s="52" t="s">
        <v>182</v>
      </c>
    </row>
    <row r="23" spans="1:6" x14ac:dyDescent="0.3">
      <c r="A23" s="21" t="s">
        <v>382</v>
      </c>
      <c r="B23" s="58">
        <v>118625</v>
      </c>
      <c r="C23" s="58">
        <v>147765</v>
      </c>
      <c r="D23" s="59">
        <f>C23-B23</f>
        <v>29140</v>
      </c>
      <c r="E23" s="24" t="s">
        <v>77</v>
      </c>
      <c r="F23" s="28"/>
    </row>
    <row r="24" spans="1:6" x14ac:dyDescent="0.3">
      <c r="A24" s="21" t="s">
        <v>383</v>
      </c>
      <c r="B24" s="58">
        <v>17123</v>
      </c>
      <c r="C24" s="58">
        <v>20977</v>
      </c>
      <c r="D24" s="59">
        <f>C24-B24</f>
        <v>3854</v>
      </c>
      <c r="E24" s="24" t="s">
        <v>77</v>
      </c>
      <c r="F24" s="28"/>
    </row>
    <row r="25" spans="1:6" x14ac:dyDescent="0.3">
      <c r="A25" s="21" t="s">
        <v>384</v>
      </c>
      <c r="B25" s="60">
        <v>0.111</v>
      </c>
      <c r="C25" s="60">
        <v>0.115</v>
      </c>
      <c r="D25" s="36">
        <f>C25-B25</f>
        <v>4.0000000000000036E-3</v>
      </c>
      <c r="E25" s="24" t="s">
        <v>237</v>
      </c>
      <c r="F25" s="28" t="s">
        <v>385</v>
      </c>
    </row>
    <row r="26" spans="1:6" x14ac:dyDescent="0.3">
      <c r="A26" s="21" t="s">
        <v>386</v>
      </c>
      <c r="B26" s="58">
        <v>11855</v>
      </c>
      <c r="C26" s="58">
        <v>15639</v>
      </c>
      <c r="D26" s="59">
        <f>C26-B26</f>
        <v>3784</v>
      </c>
      <c r="E26" s="24" t="s">
        <v>77</v>
      </c>
      <c r="F26" s="28"/>
    </row>
    <row r="27" spans="1:6" x14ac:dyDescent="0.3">
      <c r="A27" s="21" t="s">
        <v>387</v>
      </c>
      <c r="B27" s="61">
        <v>0.1</v>
      </c>
      <c r="C27" s="61">
        <v>0.10580000000000001</v>
      </c>
      <c r="D27" s="36">
        <f>C27-B27</f>
        <v>5.7999999999999996E-3</v>
      </c>
      <c r="E27" s="24" t="s">
        <v>237</v>
      </c>
      <c r="F27" s="28" t="s">
        <v>385</v>
      </c>
    </row>
    <row r="28" spans="1:6" x14ac:dyDescent="0.3">
      <c r="A28" s="21" t="s">
        <v>388</v>
      </c>
      <c r="B28" s="35" t="s">
        <v>389</v>
      </c>
      <c r="C28" s="35" t="s">
        <v>389</v>
      </c>
      <c r="D28" s="35" t="s">
        <v>128</v>
      </c>
      <c r="E28" s="24" t="s">
        <v>330</v>
      </c>
      <c r="F28" s="28" t="s">
        <v>390</v>
      </c>
    </row>
    <row r="29" spans="1:6" x14ac:dyDescent="0.3">
      <c r="A29" s="21" t="s">
        <v>391</v>
      </c>
      <c r="B29" s="62">
        <v>68</v>
      </c>
      <c r="C29" s="62">
        <v>84</v>
      </c>
      <c r="D29" s="63">
        <f>C29-B29</f>
        <v>16</v>
      </c>
      <c r="E29" s="24" t="s">
        <v>392</v>
      </c>
      <c r="F29" s="28"/>
    </row>
    <row r="30" spans="1:6" x14ac:dyDescent="0.3">
      <c r="A30" s="21" t="s">
        <v>393</v>
      </c>
      <c r="B30" s="64" t="s">
        <v>86</v>
      </c>
      <c r="C30" s="58">
        <v>1056</v>
      </c>
      <c r="D30" s="35" t="s">
        <v>128</v>
      </c>
      <c r="E30" s="24" t="s">
        <v>77</v>
      </c>
      <c r="F30" s="28" t="s">
        <v>394</v>
      </c>
    </row>
    <row r="31" spans="1:6" x14ac:dyDescent="0.3">
      <c r="A31" s="21" t="s">
        <v>395</v>
      </c>
      <c r="B31" s="64" t="s">
        <v>86</v>
      </c>
      <c r="C31" s="58">
        <v>16785</v>
      </c>
      <c r="D31" s="35" t="s">
        <v>128</v>
      </c>
      <c r="E31" s="24" t="s">
        <v>77</v>
      </c>
      <c r="F31" s="28" t="s">
        <v>394</v>
      </c>
    </row>
    <row r="33" spans="1:6" x14ac:dyDescent="0.3">
      <c r="A33" s="17" t="s">
        <v>396</v>
      </c>
      <c r="B33" s="18"/>
      <c r="C33" s="18"/>
      <c r="D33" s="18"/>
      <c r="E33" s="18"/>
      <c r="F33" s="18"/>
    </row>
    <row r="34" spans="1:6" ht="30" customHeight="1" x14ac:dyDescent="0.3">
      <c r="A34" s="51" t="s">
        <v>397</v>
      </c>
      <c r="B34" s="52" t="s">
        <v>15</v>
      </c>
      <c r="C34" s="52" t="s">
        <v>11</v>
      </c>
      <c r="D34" s="52" t="s">
        <v>398</v>
      </c>
      <c r="E34" s="52" t="s">
        <v>73</v>
      </c>
      <c r="F34" s="52" t="s">
        <v>182</v>
      </c>
    </row>
    <row r="35" spans="1:6" x14ac:dyDescent="0.3">
      <c r="A35" s="21" t="s">
        <v>399</v>
      </c>
      <c r="B35" s="36">
        <f>B24/B23</f>
        <v>0.14434562697576397</v>
      </c>
      <c r="C35" s="36">
        <f>C24/C23</f>
        <v>0.14196189896118838</v>
      </c>
      <c r="D35" s="35" t="s">
        <v>128</v>
      </c>
      <c r="E35" s="24" t="s">
        <v>237</v>
      </c>
      <c r="F35" s="39" t="s">
        <v>400</v>
      </c>
    </row>
    <row r="36" spans="1:6" x14ac:dyDescent="0.3">
      <c r="A36" s="21" t="s">
        <v>401</v>
      </c>
      <c r="B36" s="36">
        <f>B26/B23</f>
        <v>9.9936775553213911E-2</v>
      </c>
      <c r="C36" s="36">
        <f>C26/C23</f>
        <v>0.10583697086590194</v>
      </c>
      <c r="D36" s="47">
        <f>(C36-C27)*100</f>
        <v>3.6970865901930772E-3</v>
      </c>
      <c r="E36" s="24" t="s">
        <v>402</v>
      </c>
      <c r="F36" s="39" t="s">
        <v>403</v>
      </c>
    </row>
    <row r="38" spans="1:6" x14ac:dyDescent="0.3">
      <c r="A38" s="56" t="s">
        <v>404</v>
      </c>
      <c r="B38" s="57"/>
      <c r="C38" s="57"/>
      <c r="D38" s="57"/>
      <c r="E38" s="57"/>
      <c r="F38" s="57"/>
    </row>
    <row r="39" spans="1:6" ht="30" customHeight="1" x14ac:dyDescent="0.3">
      <c r="A39" s="51" t="s">
        <v>405</v>
      </c>
      <c r="B39" s="52" t="s">
        <v>406</v>
      </c>
      <c r="C39" s="52"/>
      <c r="D39" s="52"/>
      <c r="E39" s="52" t="s">
        <v>73</v>
      </c>
      <c r="F39" s="52" t="s">
        <v>182</v>
      </c>
    </row>
    <row r="40" spans="1:6" x14ac:dyDescent="0.3">
      <c r="A40" s="21" t="s">
        <v>407</v>
      </c>
      <c r="B40" s="58">
        <v>41959</v>
      </c>
      <c r="C40" s="21"/>
      <c r="D40" s="21"/>
      <c r="E40" s="24" t="s">
        <v>77</v>
      </c>
      <c r="F40" s="39" t="s">
        <v>408</v>
      </c>
    </row>
    <row r="41" spans="1:6" x14ac:dyDescent="0.3">
      <c r="A41" s="21" t="s">
        <v>386</v>
      </c>
      <c r="B41" s="58">
        <v>3685</v>
      </c>
      <c r="C41" s="21"/>
      <c r="D41" s="21"/>
      <c r="E41" s="24" t="s">
        <v>77</v>
      </c>
      <c r="F41" s="39" t="s">
        <v>408</v>
      </c>
    </row>
    <row r="42" spans="1:6" x14ac:dyDescent="0.3">
      <c r="A42" s="21" t="s">
        <v>409</v>
      </c>
      <c r="B42" s="60">
        <v>0.09</v>
      </c>
      <c r="C42" s="21"/>
      <c r="D42" s="21"/>
      <c r="E42" s="24" t="s">
        <v>237</v>
      </c>
      <c r="F42" s="39" t="s">
        <v>410</v>
      </c>
    </row>
    <row r="43" spans="1:6" x14ac:dyDescent="0.3">
      <c r="A43" s="21" t="s">
        <v>411</v>
      </c>
      <c r="B43" s="36">
        <f>B41/B40</f>
        <v>8.7823828022593489E-2</v>
      </c>
      <c r="C43" s="21"/>
      <c r="D43" s="21"/>
      <c r="E43" s="24" t="s">
        <v>237</v>
      </c>
      <c r="F43" s="39" t="s">
        <v>412</v>
      </c>
    </row>
    <row r="45" spans="1:6" ht="30" customHeight="1" x14ac:dyDescent="0.3">
      <c r="A45" s="8" t="s">
        <v>413</v>
      </c>
      <c r="B45" s="8"/>
      <c r="C45" s="8"/>
      <c r="D45" s="8"/>
      <c r="E45" s="8"/>
      <c r="F45" s="8"/>
    </row>
  </sheetData>
  <mergeCells count="7">
    <mergeCell ref="A21:F21"/>
    <mergeCell ref="A45:F45"/>
    <mergeCell ref="A12:F12"/>
    <mergeCell ref="A15:F15"/>
    <mergeCell ref="A16:F16"/>
    <mergeCell ref="A17:F17"/>
    <mergeCell ref="A18:F18"/>
  </mergeCells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  <pageSetUpPr fitToPage="1"/>
  </sheetPr>
  <dimension ref="A1:B2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130" customWidth="1"/>
  </cols>
  <sheetData>
    <row r="1" spans="1:2" ht="21" x14ac:dyDescent="0.4">
      <c r="A1" s="11" t="s">
        <v>620</v>
      </c>
    </row>
    <row r="2" spans="1:2" x14ac:dyDescent="0.3">
      <c r="A2" s="12" t="s">
        <v>621</v>
      </c>
    </row>
    <row r="4" spans="1:2" ht="30" customHeight="1" x14ac:dyDescent="0.3">
      <c r="A4" s="19" t="s">
        <v>622</v>
      </c>
      <c r="B4" s="20" t="s">
        <v>623</v>
      </c>
    </row>
    <row r="5" spans="1:2" ht="26.4" x14ac:dyDescent="0.3">
      <c r="A5" s="27" t="s">
        <v>624</v>
      </c>
      <c r="B5" s="34" t="s">
        <v>625</v>
      </c>
    </row>
    <row r="6" spans="1:2" ht="26.4" x14ac:dyDescent="0.3">
      <c r="A6" s="27" t="s">
        <v>626</v>
      </c>
      <c r="B6" s="34" t="s">
        <v>627</v>
      </c>
    </row>
    <row r="7" spans="1:2" ht="26.4" x14ac:dyDescent="0.3">
      <c r="A7" s="27" t="s">
        <v>628</v>
      </c>
      <c r="B7" s="34" t="s">
        <v>629</v>
      </c>
    </row>
    <row r="8" spans="1:2" ht="26.4" x14ac:dyDescent="0.3">
      <c r="A8" s="27" t="s">
        <v>630</v>
      </c>
      <c r="B8" s="34" t="s">
        <v>631</v>
      </c>
    </row>
    <row r="9" spans="1:2" ht="26.4" x14ac:dyDescent="0.3">
      <c r="A9" s="27" t="s">
        <v>632</v>
      </c>
      <c r="B9" s="34" t="s">
        <v>633</v>
      </c>
    </row>
    <row r="10" spans="1:2" ht="26.4" x14ac:dyDescent="0.3">
      <c r="A10" s="27" t="s">
        <v>634</v>
      </c>
      <c r="B10" s="34" t="s">
        <v>635</v>
      </c>
    </row>
    <row r="11" spans="1:2" ht="52.8" x14ac:dyDescent="0.3">
      <c r="A11" s="27" t="s">
        <v>636</v>
      </c>
      <c r="B11" s="34" t="s">
        <v>637</v>
      </c>
    </row>
    <row r="12" spans="1:2" ht="26.4" x14ac:dyDescent="0.3">
      <c r="A12" s="27" t="s">
        <v>638</v>
      </c>
      <c r="B12" s="34" t="s">
        <v>639</v>
      </c>
    </row>
    <row r="13" spans="1:2" ht="26.4" x14ac:dyDescent="0.3">
      <c r="A13" s="27" t="s">
        <v>172</v>
      </c>
      <c r="B13" s="34" t="s">
        <v>640</v>
      </c>
    </row>
    <row r="14" spans="1:2" ht="26.4" x14ac:dyDescent="0.3">
      <c r="A14" s="27" t="s">
        <v>58</v>
      </c>
      <c r="B14" s="34" t="s">
        <v>641</v>
      </c>
    </row>
    <row r="15" spans="1:2" ht="39.6" x14ac:dyDescent="0.3">
      <c r="A15" s="27" t="s">
        <v>642</v>
      </c>
      <c r="B15" s="34" t="s">
        <v>643</v>
      </c>
    </row>
    <row r="16" spans="1:2" x14ac:dyDescent="0.3">
      <c r="A16" s="27" t="s">
        <v>644</v>
      </c>
      <c r="B16" s="34" t="s">
        <v>645</v>
      </c>
    </row>
    <row r="17" spans="1:2" ht="26.4" x14ac:dyDescent="0.3">
      <c r="A17" s="27" t="s">
        <v>646</v>
      </c>
      <c r="B17" s="34" t="s">
        <v>647</v>
      </c>
    </row>
    <row r="18" spans="1:2" ht="26.4" x14ac:dyDescent="0.3">
      <c r="A18" s="27" t="s">
        <v>648</v>
      </c>
      <c r="B18" s="34" t="s">
        <v>649</v>
      </c>
    </row>
    <row r="19" spans="1:2" ht="26.4" x14ac:dyDescent="0.3">
      <c r="A19" s="27" t="s">
        <v>650</v>
      </c>
      <c r="B19" s="34" t="s">
        <v>651</v>
      </c>
    </row>
    <row r="20" spans="1:2" ht="39.6" x14ac:dyDescent="0.3">
      <c r="A20" s="27" t="s">
        <v>652</v>
      </c>
      <c r="B20" s="34" t="s">
        <v>653</v>
      </c>
    </row>
    <row r="21" spans="1:2" ht="26.4" x14ac:dyDescent="0.3">
      <c r="A21" s="27" t="s">
        <v>654</v>
      </c>
      <c r="B21" s="34" t="s">
        <v>655</v>
      </c>
    </row>
  </sheetData>
  <pageMargins left="0.5" right="0.5" top="0.6" bottom="0.6" header="0.511811023622047" footer="0.5"/>
  <pageSetup paperSize="9" fitToHeight="0" orientation="landscape" horizontalDpi="300" verticalDpi="300"/>
  <headerFooter>
    <oddFooter>&amp;LM&amp;&amp;M credit risk – educational project&amp;C&amp;A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Executive Dashboard</vt:lpstr>
      <vt:lpstr>Financial Inputs</vt:lpstr>
      <vt:lpstr>Financial Ratios</vt:lpstr>
      <vt:lpstr>Segment Analysis</vt:lpstr>
      <vt:lpstr>Fin Services Asset Quality</vt:lpstr>
      <vt:lpstr>Debt Maturity &amp; Liquidity</vt:lpstr>
      <vt:lpstr>Source Register &amp; Verif. Log</vt:lpstr>
      <vt:lpstr>External Credit Rating</vt:lpstr>
      <vt:lpstr>Methodology</vt:lpstr>
      <vt:lpstr>'Executive Dashboard'!Print_Titles</vt:lpstr>
      <vt:lpstr>'Financial Inputs'!Print_Titles</vt:lpstr>
      <vt:lpstr>'Financial Ratios'!Print_Titles</vt:lpstr>
      <vt:lpstr>'Source Register &amp; Verif.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Rashmita Perumanla</cp:lastModifiedBy>
  <cp:revision>1</cp:revision>
  <dcterms:created xsi:type="dcterms:W3CDTF">2026-10-24T08:35:56Z</dcterms:created>
  <dcterms:modified xsi:type="dcterms:W3CDTF">2026-10-24T08:56:10Z</dcterms:modified>
  <dc:language>en-US</dc:language>
</cp:coreProperties>
</file>